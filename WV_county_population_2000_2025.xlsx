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ulation" sheetId="1" state="visible" r:id="rId3"/>
    <sheet name="Interpolated (approx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<sst xmlns="http://schemas.openxmlformats.org/spreadsheetml/2006/main" count="114" uniqueCount="87">
  <si>
    <t xml:space="preserve">West Virginia County Population, 2000-2025 (sourced Census figures only; blank = not available in source used)</t>
  </si>
  <si>
    <t xml:space="preserve">County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</si>
  <si>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</si>
  <si>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</si>
  <si>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</si>
  <si>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</si>
  <si>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</si>
  <si>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</si>
  <si>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</si>
  <si>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</si>
  <si>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</si>
  <si>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</si>
  <si>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</si>
  <si>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</si>
  <si>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</si>
  <si>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</si>
  <si>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</si>
  <si>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</si>
  <si>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</si>
  <si>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</si>
  <si>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</si>
  <si>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</si>
  <si>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</si>
  <si>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</si>
  <si>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</si>
  <si>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</si>
  <si>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</si>
  <si>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</si>
  <si>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Barbour County</t>
  </si>
  <si>
    <t xml:space="preserve">Berkeley County</t>
  </si>
  <si>
    <t xml:space="preserve">Boone County</t>
  </si>
  <si>
    <t xml:space="preserve">Braxton County</t>
  </si>
  <si>
    <t xml:space="preserve">Brooke County</t>
  </si>
  <si>
    <t xml:space="preserve">Cabell County</t>
  </si>
  <si>
    <t xml:space="preserve">Calhoun County</t>
  </si>
  <si>
    <t xml:space="preserve">Clay County</t>
  </si>
  <si>
    <t xml:space="preserve">Doddridge County</t>
  </si>
  <si>
    <t xml:space="preserve">Fayette County</t>
  </si>
  <si>
    <t xml:space="preserve">Gilmer County</t>
  </si>
  <si>
    <t xml:space="preserve">Grant County</t>
  </si>
  <si>
    <t xml:space="preserve">Greenbrier County</t>
  </si>
  <si>
    <t xml:space="preserve">Hampshire County</t>
  </si>
  <si>
    <t xml:space="preserve">Hancock County</t>
  </si>
  <si>
    <t xml:space="preserve">Hardy County</t>
  </si>
  <si>
    <t xml:space="preserve">Harrison County</t>
  </si>
  <si>
    <t xml:space="preserve">Jackson County</t>
  </si>
  <si>
    <t xml:space="preserve">Jefferson County</t>
  </si>
  <si>
    <t xml:space="preserve">Kanawha County</t>
  </si>
  <si>
    <t xml:space="preserve">Lewis County</t>
  </si>
  <si>
    <t xml:space="preserve">Lincoln County</t>
  </si>
  <si>
    <t xml:space="preserve">Logan County</t>
  </si>
  <si>
    <t xml:space="preserve">Marion County</t>
  </si>
  <si>
    <t xml:space="preserve">Marshall County</t>
  </si>
  <si>
    <t xml:space="preserve">Mason County</t>
  </si>
  <si>
    <t xml:space="preserve">McDowell County</t>
  </si>
  <si>
    <t xml:space="preserve">Mercer County</t>
  </si>
  <si>
    <t xml:space="preserve">Mineral County</t>
  </si>
  <si>
    <t xml:space="preserve">Mingo County</t>
  </si>
  <si>
    <t xml:space="preserve">Monongalia County</t>
  </si>
  <si>
    <t xml:space="preserve">Monroe County</t>
  </si>
  <si>
    <t xml:space="preserve">Morgan County</t>
  </si>
  <si>
    <t xml:space="preserve">Nicholas County</t>
  </si>
  <si>
    <t xml:space="preserve">Ohio County</t>
  </si>
  <si>
    <t xml:space="preserve">Pendleton County</t>
  </si>
  <si>
    <t xml:space="preserve">Pleasants County</t>
  </si>
  <si>
    <t xml:space="preserve">Pocahontas County</t>
  </si>
  <si>
    <t xml:space="preserve">Preston County</t>
  </si>
  <si>
    <t xml:space="preserve">Putnam County</t>
  </si>
  <si>
    <t xml:space="preserve">Raleigh County</t>
  </si>
  <si>
    <t xml:space="preserve">Randolph County</t>
  </si>
  <si>
    <t xml:space="preserve">Ritchie County</t>
  </si>
  <si>
    <t xml:space="preserve">Roane County</t>
  </si>
  <si>
    <t xml:space="preserve">Summers County</t>
  </si>
  <si>
    <t xml:space="preserve">Taylor County</t>
  </si>
  <si>
    <t xml:space="preserve">Tucker County</t>
  </si>
  <si>
    <t xml:space="preserve">Tyler County</t>
  </si>
  <si>
    <t xml:space="preserve">Upshur County</t>
  </si>
  <si>
    <t xml:space="preserve">Wayne County</t>
  </si>
  <si>
    <t xml:space="preserve">Webster County</t>
  </si>
  <si>
    <t xml:space="preserve">Wetzel County</t>
  </si>
  <si>
    <t xml:space="preserve">Wirt County</t>
  </si>
  <si>
    <t xml:space="preserve">Wood County</t>
  </si>
  <si>
    <t xml:space="preserve">Wyoming County</t>
  </si>
  <si>
    <t xml:space="preserve">West Virginia total</t>
  </si>
  <si>
    <t xml:space="preserve">Source: U.S. Census Bureau via citypopulation.de/en/usa/westvirginia. 2000, 2010, 2020 = April 1 census counts; 2024 = July 1 population estimate. Blue = hardcoded source values.</t>
  </si>
  <si>
    <t xml:space="preserve">APPROXIMATE straight-line interpolation between the sourced years. NOT official Census annual estimates.</t>
  </si>
  <si>
    <t xml:space="preserve">Black = interpolated; green = linked to sourced values. 2025 left blank (no data and no extrapolation). Real annual trends can differ, especially for fast-growing or declining counties.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</si>
</sst>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7" min="2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customFormat="false" ht="15" hidden="false" customHeight="false" outlineLevel="0" collapsed="false">
      <c r="A4" s="3" t="s">
        <v>28</v>
      </c>
      <c r="B4" s="4" t="n">
        <v>15557</v>
      </c>
      <c r="C4" s="4"/>
      <c r="D4" s="4"/>
      <c r="E4" s="4"/>
      <c r="F4" s="4"/>
      <c r="G4" s="4"/>
      <c r="H4" s="4"/>
      <c r="I4" s="4"/>
      <c r="J4" s="4"/>
      <c r="K4" s="4"/>
      <c r="L4" s="4" t="n">
        <v>16589</v>
      </c>
      <c r="M4" s="4"/>
      <c r="N4" s="4"/>
      <c r="O4" s="4"/>
      <c r="P4" s="4"/>
      <c r="Q4" s="4"/>
      <c r="R4" s="4"/>
      <c r="S4" s="4"/>
      <c r="T4" s="4"/>
      <c r="U4" s="4"/>
      <c r="V4" s="4" t="n">
        <v>15459</v>
      </c>
      <c r="W4" s="4"/>
      <c r="X4" s="4"/>
      <c r="Y4" s="4"/>
      <c r="Z4" s="4" t="n">
        <v>15369</v>
      </c>
      <c r="AA4" s="4"/>
    </row>
    <row r="5" customFormat="false" ht="15" hidden="false" customHeight="false" outlineLevel="0" collapsed="false">
      <c r="A5" s="3" t="s">
        <v>29</v>
      </c>
      <c r="B5" s="4" t="n">
        <v>75905</v>
      </c>
      <c r="C5" s="4"/>
      <c r="D5" s="4"/>
      <c r="E5" s="4"/>
      <c r="F5" s="4"/>
      <c r="G5" s="4"/>
      <c r="H5" s="4"/>
      <c r="I5" s="4"/>
      <c r="J5" s="4"/>
      <c r="K5" s="4"/>
      <c r="L5" s="4" t="n">
        <v>104169</v>
      </c>
      <c r="M5" s="4"/>
      <c r="N5" s="4"/>
      <c r="O5" s="4"/>
      <c r="P5" s="4"/>
      <c r="Q5" s="4"/>
      <c r="R5" s="4"/>
      <c r="S5" s="4"/>
      <c r="T5" s="4"/>
      <c r="U5" s="4"/>
      <c r="V5" s="4" t="n">
        <v>122070</v>
      </c>
      <c r="W5" s="4"/>
      <c r="X5" s="4"/>
      <c r="Y5" s="4"/>
      <c r="Z5" s="4" t="n">
        <v>136287</v>
      </c>
      <c r="AA5" s="4"/>
    </row>
    <row r="6" customFormat="false" ht="15" hidden="false" customHeight="false" outlineLevel="0" collapsed="false">
      <c r="A6" s="3" t="s">
        <v>30</v>
      </c>
      <c r="B6" s="4" t="n">
        <v>25535</v>
      </c>
      <c r="C6" s="4"/>
      <c r="D6" s="4"/>
      <c r="E6" s="4"/>
      <c r="F6" s="4"/>
      <c r="G6" s="4"/>
      <c r="H6" s="4"/>
      <c r="I6" s="4"/>
      <c r="J6" s="4"/>
      <c r="K6" s="4"/>
      <c r="L6" s="4" t="n">
        <v>24629</v>
      </c>
      <c r="M6" s="4"/>
      <c r="N6" s="4"/>
      <c r="O6" s="4"/>
      <c r="P6" s="4"/>
      <c r="Q6" s="4"/>
      <c r="R6" s="4"/>
      <c r="S6" s="4"/>
      <c r="T6" s="4"/>
      <c r="U6" s="4"/>
      <c r="V6" s="4" t="n">
        <v>21810</v>
      </c>
      <c r="W6" s="4"/>
      <c r="X6" s="4"/>
      <c r="Y6" s="4"/>
      <c r="Z6" s="4" t="n">
        <v>20496</v>
      </c>
      <c r="AA6" s="4"/>
    </row>
    <row r="7" customFormat="false" ht="15" hidden="false" customHeight="false" outlineLevel="0" collapsed="false">
      <c r="A7" s="3" t="s">
        <v>31</v>
      </c>
      <c r="B7" s="4" t="n">
        <v>14702</v>
      </c>
      <c r="C7" s="4"/>
      <c r="D7" s="4"/>
      <c r="E7" s="4"/>
      <c r="F7" s="4"/>
      <c r="G7" s="4"/>
      <c r="H7" s="4"/>
      <c r="I7" s="4"/>
      <c r="J7" s="4"/>
      <c r="K7" s="4"/>
      <c r="L7" s="4" t="n">
        <v>14523</v>
      </c>
      <c r="M7" s="4"/>
      <c r="N7" s="4"/>
      <c r="O7" s="4"/>
      <c r="P7" s="4"/>
      <c r="Q7" s="4"/>
      <c r="R7" s="4"/>
      <c r="S7" s="4"/>
      <c r="T7" s="4"/>
      <c r="U7" s="4"/>
      <c r="V7" s="4" t="n">
        <v>12446</v>
      </c>
      <c r="W7" s="4"/>
      <c r="X7" s="4"/>
      <c r="Y7" s="4"/>
      <c r="Z7" s="4" t="n">
        <v>12051</v>
      </c>
      <c r="AA7" s="4"/>
    </row>
    <row r="8" customFormat="false" ht="15" hidden="false" customHeight="false" outlineLevel="0" collapsed="false">
      <c r="A8" s="3" t="s">
        <v>32</v>
      </c>
      <c r="B8" s="4" t="n">
        <v>25447</v>
      </c>
      <c r="C8" s="4"/>
      <c r="D8" s="4"/>
      <c r="E8" s="4"/>
      <c r="F8" s="4"/>
      <c r="G8" s="4"/>
      <c r="H8" s="4"/>
      <c r="I8" s="4"/>
      <c r="J8" s="4"/>
      <c r="K8" s="4"/>
      <c r="L8" s="4" t="n">
        <v>24069</v>
      </c>
      <c r="M8" s="4"/>
      <c r="N8" s="4"/>
      <c r="O8" s="4"/>
      <c r="P8" s="4"/>
      <c r="Q8" s="4"/>
      <c r="R8" s="4"/>
      <c r="S8" s="4"/>
      <c r="T8" s="4"/>
      <c r="U8" s="4"/>
      <c r="V8" s="4" t="n">
        <v>22558</v>
      </c>
      <c r="W8" s="4"/>
      <c r="X8" s="4"/>
      <c r="Y8" s="4"/>
      <c r="Z8" s="4" t="n">
        <v>21285</v>
      </c>
      <c r="AA8" s="4"/>
    </row>
    <row r="9" customFormat="false" ht="15" hidden="false" customHeight="false" outlineLevel="0" collapsed="false">
      <c r="A9" s="3" t="s">
        <v>33</v>
      </c>
      <c r="B9" s="4" t="n">
        <v>96784</v>
      </c>
      <c r="C9" s="4"/>
      <c r="D9" s="4"/>
      <c r="E9" s="4"/>
      <c r="F9" s="4"/>
      <c r="G9" s="4"/>
      <c r="H9" s="4"/>
      <c r="I9" s="4"/>
      <c r="J9" s="4"/>
      <c r="K9" s="4"/>
      <c r="L9" s="4" t="n">
        <v>96319</v>
      </c>
      <c r="M9" s="4"/>
      <c r="N9" s="4"/>
      <c r="O9" s="4"/>
      <c r="P9" s="4"/>
      <c r="Q9" s="4"/>
      <c r="R9" s="4"/>
      <c r="S9" s="4"/>
      <c r="T9" s="4"/>
      <c r="U9" s="4"/>
      <c r="V9" s="4" t="n">
        <v>94350</v>
      </c>
      <c r="W9" s="4"/>
      <c r="X9" s="4"/>
      <c r="Y9" s="4"/>
      <c r="Z9" s="4" t="n">
        <v>91489</v>
      </c>
      <c r="AA9" s="4"/>
    </row>
    <row r="10" customFormat="false" ht="15" hidden="false" customHeight="false" outlineLevel="0" collapsed="false">
      <c r="A10" s="3" t="s">
        <v>34</v>
      </c>
      <c r="B10" s="4" t="n">
        <v>7582</v>
      </c>
      <c r="C10" s="4"/>
      <c r="D10" s="4"/>
      <c r="E10" s="4"/>
      <c r="F10" s="4"/>
      <c r="G10" s="4"/>
      <c r="H10" s="4"/>
      <c r="I10" s="4"/>
      <c r="J10" s="4"/>
      <c r="K10" s="4"/>
      <c r="L10" s="4" t="n">
        <v>7627</v>
      </c>
      <c r="M10" s="4"/>
      <c r="N10" s="4"/>
      <c r="O10" s="4"/>
      <c r="P10" s="4"/>
      <c r="Q10" s="4"/>
      <c r="R10" s="4"/>
      <c r="S10" s="4"/>
      <c r="T10" s="4"/>
      <c r="U10" s="4"/>
      <c r="V10" s="4" t="n">
        <v>6224</v>
      </c>
      <c r="W10" s="4"/>
      <c r="X10" s="4"/>
      <c r="Y10" s="4"/>
      <c r="Z10" s="4" t="n">
        <v>5873</v>
      </c>
      <c r="AA10" s="4"/>
    </row>
    <row r="11" customFormat="false" ht="15" hidden="false" customHeight="false" outlineLevel="0" collapsed="false">
      <c r="A11" s="3" t="s">
        <v>35</v>
      </c>
      <c r="B11" s="4" t="n">
        <v>10330</v>
      </c>
      <c r="C11" s="4"/>
      <c r="D11" s="4"/>
      <c r="E11" s="4"/>
      <c r="F11" s="4"/>
      <c r="G11" s="4"/>
      <c r="H11" s="4"/>
      <c r="I11" s="4"/>
      <c r="J11" s="4"/>
      <c r="K11" s="4"/>
      <c r="L11" s="4" t="n">
        <v>9386</v>
      </c>
      <c r="M11" s="4"/>
      <c r="N11" s="4"/>
      <c r="O11" s="4"/>
      <c r="P11" s="4"/>
      <c r="Q11" s="4"/>
      <c r="R11" s="4"/>
      <c r="S11" s="4"/>
      <c r="T11" s="4"/>
      <c r="U11" s="4"/>
      <c r="V11" s="4" t="n">
        <v>8055</v>
      </c>
      <c r="W11" s="4"/>
      <c r="X11" s="4"/>
      <c r="Y11" s="4"/>
      <c r="Z11" s="4" t="n">
        <v>7689</v>
      </c>
      <c r="AA11" s="4"/>
    </row>
    <row r="12" customFormat="false" ht="15" hidden="false" customHeight="false" outlineLevel="0" collapsed="false">
      <c r="A12" s="3" t="s">
        <v>36</v>
      </c>
      <c r="B12" s="4" t="n">
        <v>7403</v>
      </c>
      <c r="C12" s="4"/>
      <c r="D12" s="4"/>
      <c r="E12" s="4"/>
      <c r="F12" s="4"/>
      <c r="G12" s="4"/>
      <c r="H12" s="4"/>
      <c r="I12" s="4"/>
      <c r="J12" s="4"/>
      <c r="K12" s="4"/>
      <c r="L12" s="4" t="n">
        <v>8202</v>
      </c>
      <c r="M12" s="4"/>
      <c r="N12" s="4"/>
      <c r="O12" s="4"/>
      <c r="P12" s="4"/>
      <c r="Q12" s="4"/>
      <c r="R12" s="4"/>
      <c r="S12" s="4"/>
      <c r="T12" s="4"/>
      <c r="U12" s="4"/>
      <c r="V12" s="4" t="n">
        <v>7810</v>
      </c>
      <c r="W12" s="4"/>
      <c r="X12" s="4"/>
      <c r="Y12" s="4"/>
      <c r="Z12" s="4" t="n">
        <v>7615</v>
      </c>
      <c r="AA12" s="4"/>
    </row>
    <row r="13" customFormat="false" ht="15" hidden="false" customHeight="false" outlineLevel="0" collapsed="false">
      <c r="A13" s="3" t="s">
        <v>37</v>
      </c>
      <c r="B13" s="4" t="n">
        <v>47579</v>
      </c>
      <c r="C13" s="4"/>
      <c r="D13" s="4"/>
      <c r="E13" s="4"/>
      <c r="F13" s="4"/>
      <c r="G13" s="4"/>
      <c r="H13" s="4"/>
      <c r="I13" s="4"/>
      <c r="J13" s="4"/>
      <c r="K13" s="4"/>
      <c r="L13" s="4" t="n">
        <v>46039</v>
      </c>
      <c r="M13" s="4"/>
      <c r="N13" s="4"/>
      <c r="O13" s="4"/>
      <c r="P13" s="4"/>
      <c r="Q13" s="4"/>
      <c r="R13" s="4"/>
      <c r="S13" s="4"/>
      <c r="T13" s="4"/>
      <c r="U13" s="4"/>
      <c r="V13" s="4" t="n">
        <v>40499</v>
      </c>
      <c r="W13" s="4"/>
      <c r="X13" s="4"/>
      <c r="Y13" s="4"/>
      <c r="Z13" s="4" t="n">
        <v>38600</v>
      </c>
      <c r="AA13" s="4"/>
    </row>
    <row r="14" customFormat="false" ht="15" hidden="false" customHeight="false" outlineLevel="0" collapsed="false">
      <c r="A14" s="3" t="s">
        <v>38</v>
      </c>
      <c r="B14" s="4" t="n">
        <v>7160</v>
      </c>
      <c r="C14" s="4"/>
      <c r="D14" s="4"/>
      <c r="E14" s="4"/>
      <c r="F14" s="4"/>
      <c r="G14" s="4"/>
      <c r="H14" s="4"/>
      <c r="I14" s="4"/>
      <c r="J14" s="4"/>
      <c r="K14" s="4"/>
      <c r="L14" s="4" t="n">
        <v>8693</v>
      </c>
      <c r="M14" s="4"/>
      <c r="N14" s="4"/>
      <c r="O14" s="4"/>
      <c r="P14" s="4"/>
      <c r="Q14" s="4"/>
      <c r="R14" s="4"/>
      <c r="S14" s="4"/>
      <c r="T14" s="4"/>
      <c r="U14" s="4"/>
      <c r="V14" s="4" t="n">
        <v>7418</v>
      </c>
      <c r="W14" s="4"/>
      <c r="X14" s="4"/>
      <c r="Y14" s="4"/>
      <c r="Z14" s="4" t="n">
        <v>7116</v>
      </c>
      <c r="AA14" s="4"/>
    </row>
    <row r="15" customFormat="false" ht="15" hidden="false" customHeight="false" outlineLevel="0" collapsed="false">
      <c r="A15" s="3" t="s">
        <v>39</v>
      </c>
      <c r="B15" s="4" t="n">
        <v>11299</v>
      </c>
      <c r="C15" s="4"/>
      <c r="D15" s="4"/>
      <c r="E15" s="4"/>
      <c r="F15" s="4"/>
      <c r="G15" s="4"/>
      <c r="H15" s="4"/>
      <c r="I15" s="4"/>
      <c r="J15" s="4"/>
      <c r="K15" s="4"/>
      <c r="L15" s="4" t="n">
        <v>11937</v>
      </c>
      <c r="M15" s="4"/>
      <c r="N15" s="4"/>
      <c r="O15" s="4"/>
      <c r="P15" s="4"/>
      <c r="Q15" s="4"/>
      <c r="R15" s="4"/>
      <c r="S15" s="4"/>
      <c r="T15" s="4"/>
      <c r="U15" s="4"/>
      <c r="V15" s="4" t="n">
        <v>10980</v>
      </c>
      <c r="W15" s="4"/>
      <c r="X15" s="4"/>
      <c r="Y15" s="4"/>
      <c r="Z15" s="4" t="n">
        <v>10971</v>
      </c>
      <c r="AA15" s="4"/>
    </row>
    <row r="16" customFormat="false" ht="15" hidden="false" customHeight="false" outlineLevel="0" collapsed="false">
      <c r="A16" s="3" t="s">
        <v>40</v>
      </c>
      <c r="B16" s="4" t="n">
        <v>34453</v>
      </c>
      <c r="C16" s="4"/>
      <c r="D16" s="4"/>
      <c r="E16" s="4"/>
      <c r="F16" s="4"/>
      <c r="G16" s="4"/>
      <c r="H16" s="4"/>
      <c r="I16" s="4"/>
      <c r="J16" s="4"/>
      <c r="K16" s="4"/>
      <c r="L16" s="4" t="n">
        <v>35480</v>
      </c>
      <c r="M16" s="4"/>
      <c r="N16" s="4"/>
      <c r="O16" s="4"/>
      <c r="P16" s="4"/>
      <c r="Q16" s="4"/>
      <c r="R16" s="4"/>
      <c r="S16" s="4"/>
      <c r="T16" s="4"/>
      <c r="U16" s="4"/>
      <c r="V16" s="4" t="n">
        <v>32983</v>
      </c>
      <c r="W16" s="4"/>
      <c r="X16" s="4"/>
      <c r="Y16" s="4"/>
      <c r="Z16" s="4" t="n">
        <v>31851</v>
      </c>
      <c r="AA16" s="4"/>
    </row>
    <row r="17" customFormat="false" ht="15" hidden="false" customHeight="false" outlineLevel="0" collapsed="false">
      <c r="A17" s="3" t="s">
        <v>41</v>
      </c>
      <c r="B17" s="4" t="n">
        <v>20203</v>
      </c>
      <c r="C17" s="4"/>
      <c r="D17" s="4"/>
      <c r="E17" s="4"/>
      <c r="F17" s="4"/>
      <c r="G17" s="4"/>
      <c r="H17" s="4"/>
      <c r="I17" s="4"/>
      <c r="J17" s="4"/>
      <c r="K17" s="4"/>
      <c r="L17" s="4" t="n">
        <v>23964</v>
      </c>
      <c r="M17" s="4"/>
      <c r="N17" s="4"/>
      <c r="O17" s="4"/>
      <c r="P17" s="4"/>
      <c r="Q17" s="4"/>
      <c r="R17" s="4"/>
      <c r="S17" s="4"/>
      <c r="T17" s="4"/>
      <c r="U17" s="4"/>
      <c r="V17" s="4" t="n">
        <v>23077</v>
      </c>
      <c r="W17" s="4"/>
      <c r="X17" s="4"/>
      <c r="Y17" s="4"/>
      <c r="Z17" s="4" t="n">
        <v>23793</v>
      </c>
      <c r="AA17" s="4"/>
    </row>
    <row r="18" customFormat="false" ht="15" hidden="false" customHeight="false" outlineLevel="0" collapsed="false">
      <c r="A18" s="3" t="s">
        <v>42</v>
      </c>
      <c r="B18" s="4" t="n">
        <v>32667</v>
      </c>
      <c r="C18" s="4"/>
      <c r="D18" s="4"/>
      <c r="E18" s="4"/>
      <c r="F18" s="4"/>
      <c r="G18" s="4"/>
      <c r="H18" s="4"/>
      <c r="I18" s="4"/>
      <c r="J18" s="4"/>
      <c r="K18" s="4"/>
      <c r="L18" s="4" t="n">
        <v>30676</v>
      </c>
      <c r="M18" s="4"/>
      <c r="N18" s="4"/>
      <c r="O18" s="4"/>
      <c r="P18" s="4"/>
      <c r="Q18" s="4"/>
      <c r="R18" s="4"/>
      <c r="S18" s="4"/>
      <c r="T18" s="4"/>
      <c r="U18" s="4"/>
      <c r="V18" s="4" t="n">
        <v>29098</v>
      </c>
      <c r="W18" s="4"/>
      <c r="X18" s="4"/>
      <c r="Y18" s="4"/>
      <c r="Z18" s="4" t="n">
        <v>28054</v>
      </c>
      <c r="AA18" s="4"/>
    </row>
    <row r="19" customFormat="false" ht="15" hidden="false" customHeight="false" outlineLevel="0" collapsed="false">
      <c r="A19" s="3" t="s">
        <v>43</v>
      </c>
      <c r="B19" s="4" t="n">
        <v>12669</v>
      </c>
      <c r="C19" s="4"/>
      <c r="D19" s="4"/>
      <c r="E19" s="4"/>
      <c r="F19" s="4"/>
      <c r="G19" s="4"/>
      <c r="H19" s="4"/>
      <c r="I19" s="4"/>
      <c r="J19" s="4"/>
      <c r="K19" s="4"/>
      <c r="L19" s="4" t="n">
        <v>14025</v>
      </c>
      <c r="M19" s="4"/>
      <c r="N19" s="4"/>
      <c r="O19" s="4"/>
      <c r="P19" s="4"/>
      <c r="Q19" s="4"/>
      <c r="R19" s="4"/>
      <c r="S19" s="4"/>
      <c r="T19" s="4"/>
      <c r="U19" s="4"/>
      <c r="V19" s="4" t="n">
        <v>14297</v>
      </c>
      <c r="W19" s="4"/>
      <c r="X19" s="4"/>
      <c r="Y19" s="4"/>
      <c r="Z19" s="4" t="n">
        <v>14335</v>
      </c>
      <c r="AA19" s="4"/>
    </row>
    <row r="20" customFormat="false" ht="15" hidden="false" customHeight="false" outlineLevel="0" collapsed="false">
      <c r="A20" s="3" t="s">
        <v>44</v>
      </c>
      <c r="B20" s="4" t="n">
        <v>68652</v>
      </c>
      <c r="C20" s="4"/>
      <c r="D20" s="4"/>
      <c r="E20" s="4"/>
      <c r="F20" s="4"/>
      <c r="G20" s="4"/>
      <c r="H20" s="4"/>
      <c r="I20" s="4"/>
      <c r="J20" s="4"/>
      <c r="K20" s="4"/>
      <c r="L20" s="4" t="n">
        <v>69099</v>
      </c>
      <c r="M20" s="4"/>
      <c r="N20" s="4"/>
      <c r="O20" s="4"/>
      <c r="P20" s="4"/>
      <c r="Q20" s="4"/>
      <c r="R20" s="4"/>
      <c r="S20" s="4"/>
      <c r="T20" s="4"/>
      <c r="U20" s="4"/>
      <c r="V20" s="4" t="n">
        <v>65915</v>
      </c>
      <c r="W20" s="4"/>
      <c r="X20" s="4"/>
      <c r="Y20" s="4"/>
      <c r="Z20" s="4" t="n">
        <v>64472</v>
      </c>
      <c r="AA20" s="4"/>
    </row>
    <row r="21" customFormat="false" ht="15" hidden="false" customHeight="false" outlineLevel="0" collapsed="false">
      <c r="A21" s="3" t="s">
        <v>45</v>
      </c>
      <c r="B21" s="4" t="n">
        <v>28000</v>
      </c>
      <c r="C21" s="4"/>
      <c r="D21" s="4"/>
      <c r="E21" s="4"/>
      <c r="F21" s="4"/>
      <c r="G21" s="4"/>
      <c r="H21" s="4"/>
      <c r="I21" s="4"/>
      <c r="J21" s="4"/>
      <c r="K21" s="4"/>
      <c r="L21" s="4" t="n">
        <v>29211</v>
      </c>
      <c r="M21" s="4"/>
      <c r="N21" s="4"/>
      <c r="O21" s="4"/>
      <c r="P21" s="4"/>
      <c r="Q21" s="4"/>
      <c r="R21" s="4"/>
      <c r="S21" s="4"/>
      <c r="T21" s="4"/>
      <c r="U21" s="4"/>
      <c r="V21" s="4" t="n">
        <v>27793</v>
      </c>
      <c r="W21" s="4"/>
      <c r="X21" s="4"/>
      <c r="Y21" s="4"/>
      <c r="Z21" s="4" t="n">
        <v>27718</v>
      </c>
      <c r="AA21" s="4"/>
    </row>
    <row r="22" customFormat="false" ht="15" hidden="false" customHeight="false" outlineLevel="0" collapsed="false">
      <c r="A22" s="3" t="s">
        <v>46</v>
      </c>
      <c r="B22" s="4" t="n">
        <v>42190</v>
      </c>
      <c r="C22" s="4"/>
      <c r="D22" s="4"/>
      <c r="E22" s="4"/>
      <c r="F22" s="4"/>
      <c r="G22" s="4"/>
      <c r="H22" s="4"/>
      <c r="I22" s="4"/>
      <c r="J22" s="4"/>
      <c r="K22" s="4"/>
      <c r="L22" s="4" t="n">
        <v>53498</v>
      </c>
      <c r="M22" s="4"/>
      <c r="N22" s="4"/>
      <c r="O22" s="4"/>
      <c r="P22" s="4"/>
      <c r="Q22" s="4"/>
      <c r="R22" s="4"/>
      <c r="S22" s="4"/>
      <c r="T22" s="4"/>
      <c r="U22" s="4"/>
      <c r="V22" s="4" t="n">
        <v>57703</v>
      </c>
      <c r="W22" s="4"/>
      <c r="X22" s="4"/>
      <c r="Y22" s="4"/>
      <c r="Z22" s="4" t="n">
        <v>61264</v>
      </c>
      <c r="AA22" s="4"/>
    </row>
    <row r="23" customFormat="false" ht="15" hidden="false" customHeight="false" outlineLevel="0" collapsed="false">
      <c r="A23" s="3" t="s">
        <v>47</v>
      </c>
      <c r="B23" s="4" t="n">
        <v>200073</v>
      </c>
      <c r="C23" s="4"/>
      <c r="D23" s="4"/>
      <c r="E23" s="4"/>
      <c r="F23" s="4"/>
      <c r="G23" s="4"/>
      <c r="H23" s="4"/>
      <c r="I23" s="4"/>
      <c r="J23" s="4"/>
      <c r="K23" s="4"/>
      <c r="L23" s="4" t="n">
        <v>193063</v>
      </c>
      <c r="M23" s="4"/>
      <c r="N23" s="4"/>
      <c r="O23" s="4"/>
      <c r="P23" s="4"/>
      <c r="Q23" s="4"/>
      <c r="R23" s="4"/>
      <c r="S23" s="4"/>
      <c r="T23" s="4"/>
      <c r="U23" s="4"/>
      <c r="V23" s="4" t="n">
        <v>180721</v>
      </c>
      <c r="W23" s="4"/>
      <c r="X23" s="4"/>
      <c r="Y23" s="4"/>
      <c r="Z23" s="4" t="n">
        <v>173906</v>
      </c>
      <c r="AA23" s="4"/>
    </row>
    <row r="24" customFormat="false" ht="15" hidden="false" customHeight="false" outlineLevel="0" collapsed="false">
      <c r="A24" s="3" t="s">
        <v>48</v>
      </c>
      <c r="B24" s="4" t="n">
        <v>16919</v>
      </c>
      <c r="C24" s="4"/>
      <c r="D24" s="4"/>
      <c r="E24" s="4"/>
      <c r="F24" s="4"/>
      <c r="G24" s="4"/>
      <c r="H24" s="4"/>
      <c r="I24" s="4"/>
      <c r="J24" s="4"/>
      <c r="K24" s="4"/>
      <c r="L24" s="4" t="n">
        <v>16372</v>
      </c>
      <c r="M24" s="4"/>
      <c r="N24" s="4"/>
      <c r="O24" s="4"/>
      <c r="P24" s="4"/>
      <c r="Q24" s="4"/>
      <c r="R24" s="4"/>
      <c r="S24" s="4"/>
      <c r="T24" s="4"/>
      <c r="U24" s="4"/>
      <c r="V24" s="4" t="n">
        <v>17030</v>
      </c>
      <c r="W24" s="4"/>
      <c r="X24" s="4"/>
      <c r="Y24" s="4"/>
      <c r="Z24" s="4" t="n">
        <v>16477</v>
      </c>
      <c r="AA24" s="4"/>
    </row>
    <row r="25" customFormat="false" ht="15" hidden="false" customHeight="false" outlineLevel="0" collapsed="false">
      <c r="A25" s="3" t="s">
        <v>49</v>
      </c>
      <c r="B25" s="4" t="n">
        <v>22108</v>
      </c>
      <c r="C25" s="4"/>
      <c r="D25" s="4"/>
      <c r="E25" s="4"/>
      <c r="F25" s="4"/>
      <c r="G25" s="4"/>
      <c r="H25" s="4"/>
      <c r="I25" s="4"/>
      <c r="J25" s="4"/>
      <c r="K25" s="4"/>
      <c r="L25" s="4" t="n">
        <v>21720</v>
      </c>
      <c r="M25" s="4"/>
      <c r="N25" s="4"/>
      <c r="O25" s="4"/>
      <c r="P25" s="4"/>
      <c r="Q25" s="4"/>
      <c r="R25" s="4"/>
      <c r="S25" s="4"/>
      <c r="T25" s="4"/>
      <c r="U25" s="4"/>
      <c r="V25" s="4" t="n">
        <v>20460</v>
      </c>
      <c r="W25" s="4"/>
      <c r="X25" s="4"/>
      <c r="Y25" s="4"/>
      <c r="Z25" s="4" t="n">
        <v>19377</v>
      </c>
      <c r="AA25" s="4"/>
    </row>
    <row r="26" customFormat="false" ht="15" hidden="false" customHeight="false" outlineLevel="0" collapsed="false">
      <c r="A26" s="3" t="s">
        <v>50</v>
      </c>
      <c r="B26" s="4" t="n">
        <v>37710</v>
      </c>
      <c r="C26" s="4"/>
      <c r="D26" s="4"/>
      <c r="E26" s="4"/>
      <c r="F26" s="4"/>
      <c r="G26" s="4"/>
      <c r="H26" s="4"/>
      <c r="I26" s="4"/>
      <c r="J26" s="4"/>
      <c r="K26" s="4"/>
      <c r="L26" s="4" t="n">
        <v>36743</v>
      </c>
      <c r="M26" s="4"/>
      <c r="N26" s="4"/>
      <c r="O26" s="4"/>
      <c r="P26" s="4"/>
      <c r="Q26" s="4"/>
      <c r="R26" s="4"/>
      <c r="S26" s="4"/>
      <c r="T26" s="4"/>
      <c r="U26" s="4"/>
      <c r="V26" s="4" t="n">
        <v>32573</v>
      </c>
      <c r="W26" s="4"/>
      <c r="X26" s="4"/>
      <c r="Y26" s="4"/>
      <c r="Z26" s="4" t="n">
        <v>30560</v>
      </c>
      <c r="AA26" s="4"/>
    </row>
    <row r="27" customFormat="false" ht="15" hidden="false" customHeight="false" outlineLevel="0" collapsed="false">
      <c r="A27" s="3" t="s">
        <v>51</v>
      </c>
      <c r="B27" s="4" t="n">
        <v>56598</v>
      </c>
      <c r="C27" s="4"/>
      <c r="D27" s="4"/>
      <c r="E27" s="4"/>
      <c r="F27" s="4"/>
      <c r="G27" s="4"/>
      <c r="H27" s="4"/>
      <c r="I27" s="4"/>
      <c r="J27" s="4"/>
      <c r="K27" s="4"/>
      <c r="L27" s="4" t="n">
        <v>56418</v>
      </c>
      <c r="M27" s="4"/>
      <c r="N27" s="4"/>
      <c r="O27" s="4"/>
      <c r="P27" s="4"/>
      <c r="Q27" s="4"/>
      <c r="R27" s="4"/>
      <c r="S27" s="4"/>
      <c r="T27" s="4"/>
      <c r="U27" s="4"/>
      <c r="V27" s="4" t="n">
        <v>56210</v>
      </c>
      <c r="W27" s="4"/>
      <c r="X27" s="4"/>
      <c r="Y27" s="4"/>
      <c r="Z27" s="4" t="n">
        <v>55649</v>
      </c>
      <c r="AA27" s="4"/>
    </row>
    <row r="28" customFormat="false" ht="15" hidden="false" customHeight="false" outlineLevel="0" collapsed="false">
      <c r="A28" s="3" t="s">
        <v>52</v>
      </c>
      <c r="B28" s="4" t="n">
        <v>35519</v>
      </c>
      <c r="C28" s="4"/>
      <c r="D28" s="4"/>
      <c r="E28" s="4"/>
      <c r="F28" s="4"/>
      <c r="G28" s="4"/>
      <c r="H28" s="4"/>
      <c r="I28" s="4"/>
      <c r="J28" s="4"/>
      <c r="K28" s="4"/>
      <c r="L28" s="4" t="n">
        <v>33107</v>
      </c>
      <c r="M28" s="4"/>
      <c r="N28" s="4"/>
      <c r="O28" s="4"/>
      <c r="P28" s="4"/>
      <c r="Q28" s="4"/>
      <c r="R28" s="4"/>
      <c r="S28" s="4"/>
      <c r="T28" s="4"/>
      <c r="U28" s="4"/>
      <c r="V28" s="4" t="n">
        <v>30617</v>
      </c>
      <c r="W28" s="4"/>
      <c r="X28" s="4"/>
      <c r="Y28" s="4"/>
      <c r="Z28" s="4" t="n">
        <v>29354</v>
      </c>
      <c r="AA28" s="4"/>
    </row>
    <row r="29" customFormat="false" ht="15" hidden="false" customHeight="false" outlineLevel="0" collapsed="false">
      <c r="A29" s="3" t="s">
        <v>53</v>
      </c>
      <c r="B29" s="4" t="n">
        <v>25957</v>
      </c>
      <c r="C29" s="4"/>
      <c r="D29" s="4"/>
      <c r="E29" s="4"/>
      <c r="F29" s="4"/>
      <c r="G29" s="4"/>
      <c r="H29" s="4"/>
      <c r="I29" s="4"/>
      <c r="J29" s="4"/>
      <c r="K29" s="4"/>
      <c r="L29" s="4" t="n">
        <v>27324</v>
      </c>
      <c r="M29" s="4"/>
      <c r="N29" s="4"/>
      <c r="O29" s="4"/>
      <c r="P29" s="4"/>
      <c r="Q29" s="4"/>
      <c r="R29" s="4"/>
      <c r="S29" s="4"/>
      <c r="T29" s="4"/>
      <c r="U29" s="4"/>
      <c r="V29" s="4" t="n">
        <v>25459</v>
      </c>
      <c r="W29" s="4"/>
      <c r="X29" s="4"/>
      <c r="Y29" s="4"/>
      <c r="Z29" s="4" t="n">
        <v>24770</v>
      </c>
      <c r="AA29" s="4"/>
    </row>
    <row r="30" customFormat="false" ht="15" hidden="false" customHeight="false" outlineLevel="0" collapsed="false">
      <c r="A30" s="3" t="s">
        <v>54</v>
      </c>
      <c r="B30" s="4" t="n">
        <v>27329</v>
      </c>
      <c r="C30" s="4"/>
      <c r="D30" s="4"/>
      <c r="E30" s="4"/>
      <c r="F30" s="4"/>
      <c r="G30" s="4"/>
      <c r="H30" s="4"/>
      <c r="I30" s="4"/>
      <c r="J30" s="4"/>
      <c r="K30" s="4"/>
      <c r="L30" s="4" t="n">
        <v>22113</v>
      </c>
      <c r="M30" s="4"/>
      <c r="N30" s="4"/>
      <c r="O30" s="4"/>
      <c r="P30" s="4"/>
      <c r="Q30" s="4"/>
      <c r="R30" s="4"/>
      <c r="S30" s="4"/>
      <c r="T30" s="4"/>
      <c r="U30" s="4"/>
      <c r="V30" s="4" t="n">
        <v>19119</v>
      </c>
      <c r="W30" s="4"/>
      <c r="X30" s="4"/>
      <c r="Y30" s="4"/>
      <c r="Z30" s="4" t="n">
        <v>17147</v>
      </c>
      <c r="AA30" s="4"/>
    </row>
    <row r="31" customFormat="false" ht="15" hidden="false" customHeight="false" outlineLevel="0" collapsed="false">
      <c r="A31" s="3" t="s">
        <v>55</v>
      </c>
      <c r="B31" s="4" t="n">
        <v>62980</v>
      </c>
      <c r="C31" s="4"/>
      <c r="D31" s="4"/>
      <c r="E31" s="4"/>
      <c r="F31" s="4"/>
      <c r="G31" s="4"/>
      <c r="H31" s="4"/>
      <c r="I31" s="4"/>
      <c r="J31" s="4"/>
      <c r="K31" s="4"/>
      <c r="L31" s="4" t="n">
        <v>62264</v>
      </c>
      <c r="M31" s="4"/>
      <c r="N31" s="4"/>
      <c r="O31" s="4"/>
      <c r="P31" s="4"/>
      <c r="Q31" s="4"/>
      <c r="R31" s="4"/>
      <c r="S31" s="4"/>
      <c r="T31" s="4"/>
      <c r="U31" s="4"/>
      <c r="V31" s="4" t="n">
        <v>59654</v>
      </c>
      <c r="W31" s="4"/>
      <c r="X31" s="4"/>
      <c r="Y31" s="4"/>
      <c r="Z31" s="4" t="n">
        <v>57524</v>
      </c>
      <c r="AA31" s="4"/>
    </row>
    <row r="32" customFormat="false" ht="15" hidden="false" customHeight="false" outlineLevel="0" collapsed="false">
      <c r="A32" s="3" t="s">
        <v>56</v>
      </c>
      <c r="B32" s="4" t="n">
        <v>27078</v>
      </c>
      <c r="C32" s="4"/>
      <c r="D32" s="4"/>
      <c r="E32" s="4"/>
      <c r="F32" s="4"/>
      <c r="G32" s="4"/>
      <c r="H32" s="4"/>
      <c r="I32" s="4"/>
      <c r="J32" s="4"/>
      <c r="K32" s="4"/>
      <c r="L32" s="4" t="n">
        <v>28212</v>
      </c>
      <c r="M32" s="4"/>
      <c r="N32" s="4"/>
      <c r="O32" s="4"/>
      <c r="P32" s="4"/>
      <c r="Q32" s="4"/>
      <c r="R32" s="4"/>
      <c r="S32" s="4"/>
      <c r="T32" s="4"/>
      <c r="U32" s="4"/>
      <c r="V32" s="4" t="n">
        <v>26942</v>
      </c>
      <c r="W32" s="4"/>
      <c r="X32" s="4"/>
      <c r="Y32" s="4"/>
      <c r="Z32" s="4" t="n">
        <v>26778</v>
      </c>
      <c r="AA32" s="4"/>
    </row>
    <row r="33" customFormat="false" ht="15" hidden="false" customHeight="false" outlineLevel="0" collapsed="false">
      <c r="A33" s="3" t="s">
        <v>57</v>
      </c>
      <c r="B33" s="4" t="n">
        <v>28253</v>
      </c>
      <c r="C33" s="4"/>
      <c r="D33" s="4"/>
      <c r="E33" s="4"/>
      <c r="F33" s="4"/>
      <c r="G33" s="4"/>
      <c r="H33" s="4"/>
      <c r="I33" s="4"/>
      <c r="J33" s="4"/>
      <c r="K33" s="4"/>
      <c r="L33" s="4" t="n">
        <v>26839</v>
      </c>
      <c r="M33" s="4"/>
      <c r="N33" s="4"/>
      <c r="O33" s="4"/>
      <c r="P33" s="4"/>
      <c r="Q33" s="4"/>
      <c r="R33" s="4"/>
      <c r="S33" s="4"/>
      <c r="T33" s="4"/>
      <c r="U33" s="4"/>
      <c r="V33" s="4" t="n">
        <v>23571</v>
      </c>
      <c r="W33" s="4"/>
      <c r="X33" s="4"/>
      <c r="Y33" s="4"/>
      <c r="Z33" s="4" t="n">
        <v>21712</v>
      </c>
      <c r="AA33" s="4"/>
    </row>
    <row r="34" customFormat="false" ht="15" hidden="false" customHeight="false" outlineLevel="0" collapsed="false">
      <c r="A34" s="3" t="s">
        <v>58</v>
      </c>
      <c r="B34" s="4" t="n">
        <v>81866</v>
      </c>
      <c r="C34" s="4"/>
      <c r="D34" s="4"/>
      <c r="E34" s="4"/>
      <c r="F34" s="4"/>
      <c r="G34" s="4"/>
      <c r="H34" s="4"/>
      <c r="I34" s="4"/>
      <c r="J34" s="4"/>
      <c r="K34" s="4"/>
      <c r="L34" s="4" t="n">
        <v>96189</v>
      </c>
      <c r="M34" s="4"/>
      <c r="N34" s="4"/>
      <c r="O34" s="4"/>
      <c r="P34" s="4"/>
      <c r="Q34" s="4"/>
      <c r="R34" s="4"/>
      <c r="S34" s="4"/>
      <c r="T34" s="4"/>
      <c r="U34" s="4"/>
      <c r="V34" s="4" t="n">
        <v>105823</v>
      </c>
      <c r="W34" s="4"/>
      <c r="X34" s="4"/>
      <c r="Y34" s="4"/>
      <c r="Z34" s="4" t="n">
        <v>108697</v>
      </c>
      <c r="AA34" s="4"/>
    </row>
    <row r="35" customFormat="false" ht="15" hidden="false" customHeight="false" outlineLevel="0" collapsed="false">
      <c r="A35" s="3" t="s">
        <v>59</v>
      </c>
      <c r="B35" s="4" t="n">
        <v>14583</v>
      </c>
      <c r="C35" s="4"/>
      <c r="D35" s="4"/>
      <c r="E35" s="4"/>
      <c r="F35" s="4"/>
      <c r="G35" s="4"/>
      <c r="H35" s="4"/>
      <c r="I35" s="4"/>
      <c r="J35" s="4"/>
      <c r="K35" s="4"/>
      <c r="L35" s="4" t="n">
        <v>13502</v>
      </c>
      <c r="M35" s="4"/>
      <c r="N35" s="4"/>
      <c r="O35" s="4"/>
      <c r="P35" s="4"/>
      <c r="Q35" s="4"/>
      <c r="R35" s="4"/>
      <c r="S35" s="4"/>
      <c r="T35" s="4"/>
      <c r="U35" s="4"/>
      <c r="V35" s="4" t="n">
        <v>12379</v>
      </c>
      <c r="W35" s="4"/>
      <c r="X35" s="4"/>
      <c r="Y35" s="4"/>
      <c r="Z35" s="4" t="n">
        <v>12462</v>
      </c>
      <c r="AA35" s="4"/>
    </row>
    <row r="36" customFormat="false" ht="15" hidden="false" customHeight="false" outlineLevel="0" collapsed="false">
      <c r="A36" s="3" t="s">
        <v>60</v>
      </c>
      <c r="B36" s="4" t="n">
        <v>14943</v>
      </c>
      <c r="C36" s="4"/>
      <c r="D36" s="4"/>
      <c r="E36" s="4"/>
      <c r="F36" s="4"/>
      <c r="G36" s="4"/>
      <c r="H36" s="4"/>
      <c r="I36" s="4"/>
      <c r="J36" s="4"/>
      <c r="K36" s="4"/>
      <c r="L36" s="4" t="n">
        <v>17541</v>
      </c>
      <c r="M36" s="4"/>
      <c r="N36" s="4"/>
      <c r="O36" s="4"/>
      <c r="P36" s="4"/>
      <c r="Q36" s="4"/>
      <c r="R36" s="4"/>
      <c r="S36" s="4"/>
      <c r="T36" s="4"/>
      <c r="U36" s="4"/>
      <c r="V36" s="4" t="n">
        <v>17064</v>
      </c>
      <c r="W36" s="4"/>
      <c r="X36" s="4"/>
      <c r="Y36" s="4"/>
      <c r="Z36" s="4" t="n">
        <v>17780</v>
      </c>
      <c r="AA36" s="4"/>
    </row>
    <row r="37" customFormat="false" ht="15" hidden="false" customHeight="false" outlineLevel="0" collapsed="false">
      <c r="A37" s="3" t="s">
        <v>61</v>
      </c>
      <c r="B37" s="4" t="n">
        <v>26562</v>
      </c>
      <c r="C37" s="4"/>
      <c r="D37" s="4"/>
      <c r="E37" s="4"/>
      <c r="F37" s="4"/>
      <c r="G37" s="4"/>
      <c r="H37" s="4"/>
      <c r="I37" s="4"/>
      <c r="J37" s="4"/>
      <c r="K37" s="4"/>
      <c r="L37" s="4" t="n">
        <v>26233</v>
      </c>
      <c r="M37" s="4"/>
      <c r="N37" s="4"/>
      <c r="O37" s="4"/>
      <c r="P37" s="4"/>
      <c r="Q37" s="4"/>
      <c r="R37" s="4"/>
      <c r="S37" s="4"/>
      <c r="T37" s="4"/>
      <c r="U37" s="4"/>
      <c r="V37" s="4" t="n">
        <v>24607</v>
      </c>
      <c r="W37" s="4"/>
      <c r="X37" s="4"/>
      <c r="Y37" s="4"/>
      <c r="Z37" s="4" t="n">
        <v>24017</v>
      </c>
      <c r="AA37" s="4"/>
    </row>
    <row r="38" customFormat="false" ht="15" hidden="false" customHeight="false" outlineLevel="0" collapsed="false">
      <c r="A38" s="3" t="s">
        <v>62</v>
      </c>
      <c r="B38" s="4" t="n">
        <v>47427</v>
      </c>
      <c r="C38" s="4"/>
      <c r="D38" s="4"/>
      <c r="E38" s="4"/>
      <c r="F38" s="4"/>
      <c r="G38" s="4"/>
      <c r="H38" s="4"/>
      <c r="I38" s="4"/>
      <c r="J38" s="4"/>
      <c r="K38" s="4"/>
      <c r="L38" s="4" t="n">
        <v>44443</v>
      </c>
      <c r="M38" s="4"/>
      <c r="N38" s="4"/>
      <c r="O38" s="4"/>
      <c r="P38" s="4"/>
      <c r="Q38" s="4"/>
      <c r="R38" s="4"/>
      <c r="S38" s="4"/>
      <c r="T38" s="4"/>
      <c r="U38" s="4"/>
      <c r="V38" s="4" t="n">
        <v>42405</v>
      </c>
      <c r="W38" s="4"/>
      <c r="X38" s="4"/>
      <c r="Y38" s="4"/>
      <c r="Z38" s="4" t="n">
        <v>41090</v>
      </c>
      <c r="AA38" s="4"/>
    </row>
    <row r="39" customFormat="false" ht="15" hidden="false" customHeight="false" outlineLevel="0" collapsed="false">
      <c r="A39" s="3" t="s">
        <v>63</v>
      </c>
      <c r="B39" s="4" t="n">
        <v>8196</v>
      </c>
      <c r="C39" s="4"/>
      <c r="D39" s="4"/>
      <c r="E39" s="4"/>
      <c r="F39" s="4"/>
      <c r="G39" s="4"/>
      <c r="H39" s="4"/>
      <c r="I39" s="4"/>
      <c r="J39" s="4"/>
      <c r="K39" s="4"/>
      <c r="L39" s="4" t="n">
        <v>7695</v>
      </c>
      <c r="M39" s="4"/>
      <c r="N39" s="4"/>
      <c r="O39" s="4"/>
      <c r="P39" s="4"/>
      <c r="Q39" s="4"/>
      <c r="R39" s="4"/>
      <c r="S39" s="4"/>
      <c r="T39" s="4"/>
      <c r="U39" s="4"/>
      <c r="V39" s="4" t="n">
        <v>6141</v>
      </c>
      <c r="W39" s="4"/>
      <c r="X39" s="4"/>
      <c r="Y39" s="4"/>
      <c r="Z39" s="4" t="n">
        <v>5944</v>
      </c>
      <c r="AA39" s="4"/>
    </row>
    <row r="40" customFormat="false" ht="15" hidden="false" customHeight="false" outlineLevel="0" collapsed="false">
      <c r="A40" s="3" t="s">
        <v>64</v>
      </c>
      <c r="B40" s="4" t="n">
        <v>7514</v>
      </c>
      <c r="C40" s="4"/>
      <c r="D40" s="4"/>
      <c r="E40" s="4"/>
      <c r="F40" s="4"/>
      <c r="G40" s="4"/>
      <c r="H40" s="4"/>
      <c r="I40" s="4"/>
      <c r="J40" s="4"/>
      <c r="K40" s="4"/>
      <c r="L40" s="4" t="n">
        <v>7605</v>
      </c>
      <c r="M40" s="4"/>
      <c r="N40" s="4"/>
      <c r="O40" s="4"/>
      <c r="P40" s="4"/>
      <c r="Q40" s="4"/>
      <c r="R40" s="4"/>
      <c r="S40" s="4"/>
      <c r="T40" s="4"/>
      <c r="U40" s="4"/>
      <c r="V40" s="4" t="n">
        <v>7653</v>
      </c>
      <c r="W40" s="4"/>
      <c r="X40" s="4"/>
      <c r="Y40" s="4"/>
      <c r="Z40" s="4" t="n">
        <v>7358</v>
      </c>
      <c r="AA40" s="4"/>
    </row>
    <row r="41" customFormat="false" ht="15" hidden="false" customHeight="false" outlineLevel="0" collapsed="false">
      <c r="A41" s="3" t="s">
        <v>65</v>
      </c>
      <c r="B41" s="4" t="n">
        <v>9131</v>
      </c>
      <c r="C41" s="4"/>
      <c r="D41" s="4"/>
      <c r="E41" s="4"/>
      <c r="F41" s="4"/>
      <c r="G41" s="4"/>
      <c r="H41" s="4"/>
      <c r="I41" s="4"/>
      <c r="J41" s="4"/>
      <c r="K41" s="4"/>
      <c r="L41" s="4" t="n">
        <v>8719</v>
      </c>
      <c r="M41" s="4"/>
      <c r="N41" s="4"/>
      <c r="O41" s="4"/>
      <c r="P41" s="4"/>
      <c r="Q41" s="4"/>
      <c r="R41" s="4"/>
      <c r="S41" s="4"/>
      <c r="T41" s="4"/>
      <c r="U41" s="4"/>
      <c r="V41" s="4" t="n">
        <v>7873</v>
      </c>
      <c r="W41" s="4"/>
      <c r="X41" s="4"/>
      <c r="Y41" s="4"/>
      <c r="Z41" s="4" t="n">
        <v>7653</v>
      </c>
      <c r="AA41" s="4"/>
    </row>
    <row r="42" customFormat="false" ht="15" hidden="false" customHeight="false" outlineLevel="0" collapsed="false">
      <c r="A42" s="3" t="s">
        <v>66</v>
      </c>
      <c r="B42" s="4" t="n">
        <v>29334</v>
      </c>
      <c r="C42" s="4"/>
      <c r="D42" s="4"/>
      <c r="E42" s="4"/>
      <c r="F42" s="4"/>
      <c r="G42" s="4"/>
      <c r="H42" s="4"/>
      <c r="I42" s="4"/>
      <c r="J42" s="4"/>
      <c r="K42" s="4"/>
      <c r="L42" s="4" t="n">
        <v>33520</v>
      </c>
      <c r="M42" s="4"/>
      <c r="N42" s="4"/>
      <c r="O42" s="4"/>
      <c r="P42" s="4"/>
      <c r="Q42" s="4"/>
      <c r="R42" s="4"/>
      <c r="S42" s="4"/>
      <c r="T42" s="4"/>
      <c r="U42" s="4"/>
      <c r="V42" s="4" t="n">
        <v>34215</v>
      </c>
      <c r="W42" s="4"/>
      <c r="X42" s="4"/>
      <c r="Y42" s="4"/>
      <c r="Z42" s="4" t="n">
        <v>34055</v>
      </c>
      <c r="AA42" s="4"/>
    </row>
    <row r="43" customFormat="false" ht="15" hidden="false" customHeight="false" outlineLevel="0" collapsed="false">
      <c r="A43" s="3" t="s">
        <v>67</v>
      </c>
      <c r="B43" s="4" t="n">
        <v>51589</v>
      </c>
      <c r="C43" s="4"/>
      <c r="D43" s="4"/>
      <c r="E43" s="4"/>
      <c r="F43" s="4"/>
      <c r="G43" s="4"/>
      <c r="H43" s="4"/>
      <c r="I43" s="4"/>
      <c r="J43" s="4"/>
      <c r="K43" s="4"/>
      <c r="L43" s="4" t="n">
        <v>55486</v>
      </c>
      <c r="M43" s="4"/>
      <c r="N43" s="4"/>
      <c r="O43" s="4"/>
      <c r="P43" s="4"/>
      <c r="Q43" s="4"/>
      <c r="R43" s="4"/>
      <c r="S43" s="4"/>
      <c r="T43" s="4"/>
      <c r="U43" s="4"/>
      <c r="V43" s="4" t="n">
        <v>57436</v>
      </c>
      <c r="W43" s="4"/>
      <c r="X43" s="4"/>
      <c r="Y43" s="4"/>
      <c r="Z43" s="4" t="n">
        <v>57067</v>
      </c>
      <c r="AA43" s="4"/>
    </row>
    <row r="44" customFormat="false" ht="15" hidden="false" customHeight="false" outlineLevel="0" collapsed="false">
      <c r="A44" s="3" t="s">
        <v>68</v>
      </c>
      <c r="B44" s="4" t="n">
        <v>79220</v>
      </c>
      <c r="C44" s="4"/>
      <c r="D44" s="4"/>
      <c r="E44" s="4"/>
      <c r="F44" s="4"/>
      <c r="G44" s="4"/>
      <c r="H44" s="4"/>
      <c r="I44" s="4"/>
      <c r="J44" s="4"/>
      <c r="K44" s="4"/>
      <c r="L44" s="4" t="n">
        <v>78859</v>
      </c>
      <c r="M44" s="4"/>
      <c r="N44" s="4"/>
      <c r="O44" s="4"/>
      <c r="P44" s="4"/>
      <c r="Q44" s="4"/>
      <c r="R44" s="4"/>
      <c r="S44" s="4"/>
      <c r="T44" s="4"/>
      <c r="U44" s="4"/>
      <c r="V44" s="4" t="n">
        <v>74592</v>
      </c>
      <c r="W44" s="4"/>
      <c r="X44" s="4"/>
      <c r="Y44" s="4"/>
      <c r="Z44" s="4" t="n">
        <v>72379</v>
      </c>
      <c r="AA44" s="4"/>
    </row>
    <row r="45" customFormat="false" ht="15" hidden="false" customHeight="false" outlineLevel="0" collapsed="false">
      <c r="A45" s="3" t="s">
        <v>69</v>
      </c>
      <c r="B45" s="4" t="n">
        <v>28262</v>
      </c>
      <c r="C45" s="4"/>
      <c r="D45" s="4"/>
      <c r="E45" s="4"/>
      <c r="F45" s="4"/>
      <c r="G45" s="4"/>
      <c r="H45" s="4"/>
      <c r="I45" s="4"/>
      <c r="J45" s="4"/>
      <c r="K45" s="4"/>
      <c r="L45" s="4" t="n">
        <v>29405</v>
      </c>
      <c r="M45" s="4"/>
      <c r="N45" s="4"/>
      <c r="O45" s="4"/>
      <c r="P45" s="4"/>
      <c r="Q45" s="4"/>
      <c r="R45" s="4"/>
      <c r="S45" s="4"/>
      <c r="T45" s="4"/>
      <c r="U45" s="4"/>
      <c r="V45" s="4" t="n">
        <v>27932</v>
      </c>
      <c r="W45" s="4"/>
      <c r="X45" s="4"/>
      <c r="Y45" s="4"/>
      <c r="Z45" s="4" t="n">
        <v>27190</v>
      </c>
      <c r="AA45" s="4"/>
    </row>
    <row r="46" customFormat="false" ht="15" hidden="false" customHeight="false" outlineLevel="0" collapsed="false">
      <c r="A46" s="3" t="s">
        <v>70</v>
      </c>
      <c r="B46" s="4" t="n">
        <v>10343</v>
      </c>
      <c r="C46" s="4"/>
      <c r="D46" s="4"/>
      <c r="E46" s="4"/>
      <c r="F46" s="4"/>
      <c r="G46" s="4"/>
      <c r="H46" s="4"/>
      <c r="I46" s="4"/>
      <c r="J46" s="4"/>
      <c r="K46" s="4"/>
      <c r="L46" s="4" t="n">
        <v>10449</v>
      </c>
      <c r="M46" s="4"/>
      <c r="N46" s="4"/>
      <c r="O46" s="4"/>
      <c r="P46" s="4"/>
      <c r="Q46" s="4"/>
      <c r="R46" s="4"/>
      <c r="S46" s="4"/>
      <c r="T46" s="4"/>
      <c r="U46" s="4"/>
      <c r="V46" s="4" t="n">
        <v>8445</v>
      </c>
      <c r="W46" s="4"/>
      <c r="X46" s="4"/>
      <c r="Y46" s="4"/>
      <c r="Z46" s="4" t="n">
        <v>8170</v>
      </c>
      <c r="AA46" s="4"/>
    </row>
    <row r="47" customFormat="false" ht="15" hidden="false" customHeight="false" outlineLevel="0" collapsed="false">
      <c r="A47" s="3" t="s">
        <v>71</v>
      </c>
      <c r="B47" s="4" t="n">
        <v>15446</v>
      </c>
      <c r="C47" s="4"/>
      <c r="D47" s="4"/>
      <c r="E47" s="4"/>
      <c r="F47" s="4"/>
      <c r="G47" s="4"/>
      <c r="H47" s="4"/>
      <c r="I47" s="4"/>
      <c r="J47" s="4"/>
      <c r="K47" s="4"/>
      <c r="L47" s="4" t="n">
        <v>14926</v>
      </c>
      <c r="M47" s="4"/>
      <c r="N47" s="4"/>
      <c r="O47" s="4"/>
      <c r="P47" s="4"/>
      <c r="Q47" s="4"/>
      <c r="R47" s="4"/>
      <c r="S47" s="4"/>
      <c r="T47" s="4"/>
      <c r="U47" s="4"/>
      <c r="V47" s="4" t="n">
        <v>14024</v>
      </c>
      <c r="W47" s="4"/>
      <c r="X47" s="4"/>
      <c r="Y47" s="4"/>
      <c r="Z47" s="4" t="n">
        <v>13540</v>
      </c>
      <c r="AA47" s="4"/>
    </row>
    <row r="48" customFormat="false" ht="15" hidden="false" customHeight="false" outlineLevel="0" collapsed="false">
      <c r="A48" s="3" t="s">
        <v>72</v>
      </c>
      <c r="B48" s="4" t="n">
        <v>12999</v>
      </c>
      <c r="C48" s="4"/>
      <c r="D48" s="4"/>
      <c r="E48" s="4"/>
      <c r="F48" s="4"/>
      <c r="G48" s="4"/>
      <c r="H48" s="4"/>
      <c r="I48" s="4"/>
      <c r="J48" s="4"/>
      <c r="K48" s="4"/>
      <c r="L48" s="4" t="n">
        <v>13927</v>
      </c>
      <c r="M48" s="4"/>
      <c r="N48" s="4"/>
      <c r="O48" s="4"/>
      <c r="P48" s="4"/>
      <c r="Q48" s="4"/>
      <c r="R48" s="4"/>
      <c r="S48" s="4"/>
      <c r="T48" s="4"/>
      <c r="U48" s="4"/>
      <c r="V48" s="4" t="n">
        <v>11967</v>
      </c>
      <c r="W48" s="4"/>
      <c r="X48" s="4"/>
      <c r="Y48" s="4"/>
      <c r="Z48" s="4" t="n">
        <v>11544</v>
      </c>
      <c r="AA48" s="4"/>
    </row>
    <row r="49" customFormat="false" ht="15" hidden="false" customHeight="false" outlineLevel="0" collapsed="false">
      <c r="A49" s="3" t="s">
        <v>73</v>
      </c>
      <c r="B49" s="4" t="n">
        <v>16089</v>
      </c>
      <c r="C49" s="4"/>
      <c r="D49" s="4"/>
      <c r="E49" s="4"/>
      <c r="F49" s="4"/>
      <c r="G49" s="4"/>
      <c r="H49" s="4"/>
      <c r="I49" s="4"/>
      <c r="J49" s="4"/>
      <c r="K49" s="4"/>
      <c r="L49" s="4" t="n">
        <v>16895</v>
      </c>
      <c r="M49" s="4"/>
      <c r="N49" s="4"/>
      <c r="O49" s="4"/>
      <c r="P49" s="4"/>
      <c r="Q49" s="4"/>
      <c r="R49" s="4"/>
      <c r="S49" s="4"/>
      <c r="T49" s="4"/>
      <c r="U49" s="4"/>
      <c r="V49" s="4" t="n">
        <v>16706</v>
      </c>
      <c r="W49" s="4"/>
      <c r="X49" s="4"/>
      <c r="Y49" s="4"/>
      <c r="Z49" s="4" t="n">
        <v>16438</v>
      </c>
      <c r="AA49" s="4"/>
    </row>
    <row r="50" customFormat="false" ht="15" hidden="false" customHeight="false" outlineLevel="0" collapsed="false">
      <c r="A50" s="3" t="s">
        <v>74</v>
      </c>
      <c r="B50" s="4" t="n">
        <v>7321</v>
      </c>
      <c r="C50" s="4"/>
      <c r="D50" s="4"/>
      <c r="E50" s="4"/>
      <c r="F50" s="4"/>
      <c r="G50" s="4"/>
      <c r="H50" s="4"/>
      <c r="I50" s="4"/>
      <c r="J50" s="4"/>
      <c r="K50" s="4"/>
      <c r="L50" s="4" t="n">
        <v>7141</v>
      </c>
      <c r="M50" s="4"/>
      <c r="N50" s="4"/>
      <c r="O50" s="4"/>
      <c r="P50" s="4"/>
      <c r="Q50" s="4"/>
      <c r="R50" s="4"/>
      <c r="S50" s="4"/>
      <c r="T50" s="4"/>
      <c r="U50" s="4"/>
      <c r="V50" s="4" t="n">
        <v>6764</v>
      </c>
      <c r="W50" s="4"/>
      <c r="X50" s="4"/>
      <c r="Y50" s="4"/>
      <c r="Z50" s="4" t="n">
        <v>6573</v>
      </c>
      <c r="AA50" s="4"/>
    </row>
    <row r="51" customFormat="false" ht="15" hidden="false" customHeight="false" outlineLevel="0" collapsed="false">
      <c r="A51" s="3" t="s">
        <v>75</v>
      </c>
      <c r="B51" s="4" t="n">
        <v>9592</v>
      </c>
      <c r="C51" s="4"/>
      <c r="D51" s="4"/>
      <c r="E51" s="4"/>
      <c r="F51" s="4"/>
      <c r="G51" s="4"/>
      <c r="H51" s="4"/>
      <c r="I51" s="4"/>
      <c r="J51" s="4"/>
      <c r="K51" s="4"/>
      <c r="L51" s="4" t="n">
        <v>9208</v>
      </c>
      <c r="M51" s="4"/>
      <c r="N51" s="4"/>
      <c r="O51" s="4"/>
      <c r="P51" s="4"/>
      <c r="Q51" s="4"/>
      <c r="R51" s="4"/>
      <c r="S51" s="4"/>
      <c r="T51" s="4"/>
      <c r="U51" s="4"/>
      <c r="V51" s="4" t="n">
        <v>8305</v>
      </c>
      <c r="W51" s="4"/>
      <c r="X51" s="4"/>
      <c r="Y51" s="4"/>
      <c r="Z51" s="4" t="n">
        <v>7843</v>
      </c>
      <c r="AA51" s="4"/>
    </row>
    <row r="52" customFormat="false" ht="15" hidden="false" customHeight="false" outlineLevel="0" collapsed="false">
      <c r="A52" s="3" t="s">
        <v>76</v>
      </c>
      <c r="B52" s="4" t="n">
        <v>23404</v>
      </c>
      <c r="C52" s="4"/>
      <c r="D52" s="4"/>
      <c r="E52" s="4"/>
      <c r="F52" s="4"/>
      <c r="G52" s="4"/>
      <c r="H52" s="4"/>
      <c r="I52" s="4"/>
      <c r="J52" s="4"/>
      <c r="K52" s="4"/>
      <c r="L52" s="4" t="n">
        <v>24254</v>
      </c>
      <c r="M52" s="4"/>
      <c r="N52" s="4"/>
      <c r="O52" s="4"/>
      <c r="P52" s="4"/>
      <c r="Q52" s="4"/>
      <c r="R52" s="4"/>
      <c r="S52" s="4"/>
      <c r="T52" s="4"/>
      <c r="U52" s="4"/>
      <c r="V52" s="4" t="n">
        <v>23818</v>
      </c>
      <c r="W52" s="4"/>
      <c r="X52" s="4"/>
      <c r="Y52" s="4"/>
      <c r="Z52" s="4" t="n">
        <v>23650</v>
      </c>
      <c r="AA52" s="4"/>
    </row>
    <row r="53" customFormat="false" ht="15" hidden="false" customHeight="false" outlineLevel="0" collapsed="false">
      <c r="A53" s="3" t="s">
        <v>77</v>
      </c>
      <c r="B53" s="4" t="n">
        <v>42903</v>
      </c>
      <c r="C53" s="4"/>
      <c r="D53" s="4"/>
      <c r="E53" s="4"/>
      <c r="F53" s="4"/>
      <c r="G53" s="4"/>
      <c r="H53" s="4"/>
      <c r="I53" s="4"/>
      <c r="J53" s="4"/>
      <c r="K53" s="4"/>
      <c r="L53" s="4" t="n">
        <v>42481</v>
      </c>
      <c r="M53" s="4"/>
      <c r="N53" s="4"/>
      <c r="O53" s="4"/>
      <c r="P53" s="4"/>
      <c r="Q53" s="4"/>
      <c r="R53" s="4"/>
      <c r="S53" s="4"/>
      <c r="T53" s="4"/>
      <c r="U53" s="4"/>
      <c r="V53" s="4" t="n">
        <v>38980</v>
      </c>
      <c r="W53" s="4"/>
      <c r="X53" s="4"/>
      <c r="Y53" s="4"/>
      <c r="Z53" s="4" t="n">
        <v>37589</v>
      </c>
      <c r="AA53" s="4"/>
    </row>
    <row r="54" customFormat="false" ht="15" hidden="false" customHeight="false" outlineLevel="0" collapsed="false">
      <c r="A54" s="3" t="s">
        <v>78</v>
      </c>
      <c r="B54" s="4" t="n">
        <v>9719</v>
      </c>
      <c r="C54" s="4"/>
      <c r="D54" s="4"/>
      <c r="E54" s="4"/>
      <c r="F54" s="4"/>
      <c r="G54" s="4"/>
      <c r="H54" s="4"/>
      <c r="I54" s="4"/>
      <c r="J54" s="4"/>
      <c r="K54" s="4"/>
      <c r="L54" s="4" t="n">
        <v>9154</v>
      </c>
      <c r="M54" s="4"/>
      <c r="N54" s="4"/>
      <c r="O54" s="4"/>
      <c r="P54" s="4"/>
      <c r="Q54" s="4"/>
      <c r="R54" s="4"/>
      <c r="S54" s="4"/>
      <c r="T54" s="4"/>
      <c r="U54" s="4"/>
      <c r="V54" s="4" t="n">
        <v>8375</v>
      </c>
      <c r="W54" s="4"/>
      <c r="X54" s="4"/>
      <c r="Y54" s="4"/>
      <c r="Z54" s="4" t="n">
        <v>7947</v>
      </c>
      <c r="AA54" s="4"/>
    </row>
    <row r="55" customFormat="false" ht="15" hidden="false" customHeight="false" outlineLevel="0" collapsed="false">
      <c r="A55" s="3" t="s">
        <v>79</v>
      </c>
      <c r="B55" s="4" t="n">
        <v>17693</v>
      </c>
      <c r="C55" s="4"/>
      <c r="D55" s="4"/>
      <c r="E55" s="4"/>
      <c r="F55" s="4"/>
      <c r="G55" s="4"/>
      <c r="H55" s="4"/>
      <c r="I55" s="4"/>
      <c r="J55" s="4"/>
      <c r="K55" s="4"/>
      <c r="L55" s="4" t="n">
        <v>16583</v>
      </c>
      <c r="M55" s="4"/>
      <c r="N55" s="4"/>
      <c r="O55" s="4"/>
      <c r="P55" s="4"/>
      <c r="Q55" s="4"/>
      <c r="R55" s="4"/>
      <c r="S55" s="4"/>
      <c r="T55" s="4"/>
      <c r="U55" s="4"/>
      <c r="V55" s="4" t="n">
        <v>14458</v>
      </c>
      <c r="W55" s="4"/>
      <c r="X55" s="4"/>
      <c r="Y55" s="4"/>
      <c r="Z55" s="4" t="n">
        <v>13766</v>
      </c>
      <c r="AA55" s="4"/>
    </row>
    <row r="56" customFormat="false" ht="15" hidden="false" customHeight="false" outlineLevel="0" collapsed="false">
      <c r="A56" s="3" t="s">
        <v>80</v>
      </c>
      <c r="B56" s="4" t="n">
        <v>5873</v>
      </c>
      <c r="C56" s="4"/>
      <c r="D56" s="4"/>
      <c r="E56" s="4"/>
      <c r="F56" s="4"/>
      <c r="G56" s="4"/>
      <c r="H56" s="4"/>
      <c r="I56" s="4"/>
      <c r="J56" s="4"/>
      <c r="K56" s="4"/>
      <c r="L56" s="4" t="n">
        <v>5717</v>
      </c>
      <c r="M56" s="4"/>
      <c r="N56" s="4"/>
      <c r="O56" s="4"/>
      <c r="P56" s="4"/>
      <c r="Q56" s="4"/>
      <c r="R56" s="4"/>
      <c r="S56" s="4"/>
      <c r="T56" s="4"/>
      <c r="U56" s="4"/>
      <c r="V56" s="4" t="n">
        <v>5196</v>
      </c>
      <c r="W56" s="4"/>
      <c r="X56" s="4"/>
      <c r="Y56" s="4"/>
      <c r="Z56" s="4" t="n">
        <v>4924</v>
      </c>
      <c r="AA56" s="4"/>
    </row>
    <row r="57" customFormat="false" ht="15" hidden="false" customHeight="false" outlineLevel="0" collapsed="false">
      <c r="A57" s="3" t="s">
        <v>81</v>
      </c>
      <c r="B57" s="4" t="n">
        <v>87986</v>
      </c>
      <c r="C57" s="4"/>
      <c r="D57" s="4"/>
      <c r="E57" s="4"/>
      <c r="F57" s="4"/>
      <c r="G57" s="4"/>
      <c r="H57" s="4"/>
      <c r="I57" s="4"/>
      <c r="J57" s="4"/>
      <c r="K57" s="4"/>
      <c r="L57" s="4" t="n">
        <v>86956</v>
      </c>
      <c r="M57" s="4"/>
      <c r="N57" s="4"/>
      <c r="O57" s="4"/>
      <c r="P57" s="4"/>
      <c r="Q57" s="4"/>
      <c r="R57" s="4"/>
      <c r="S57" s="4"/>
      <c r="T57" s="4"/>
      <c r="U57" s="4"/>
      <c r="V57" s="4" t="n">
        <v>84293</v>
      </c>
      <c r="W57" s="4"/>
      <c r="X57" s="4"/>
      <c r="Y57" s="4"/>
      <c r="Z57" s="4" t="n">
        <v>82757</v>
      </c>
      <c r="AA57" s="4"/>
    </row>
    <row r="58" customFormat="false" ht="15" hidden="false" customHeight="false" outlineLevel="0" collapsed="false">
      <c r="A58" s="3" t="s">
        <v>82</v>
      </c>
      <c r="B58" s="4" t="n">
        <v>25708</v>
      </c>
      <c r="C58" s="4"/>
      <c r="D58" s="4"/>
      <c r="E58" s="4"/>
      <c r="F58" s="4"/>
      <c r="G58" s="4"/>
      <c r="H58" s="4"/>
      <c r="I58" s="4"/>
      <c r="J58" s="4"/>
      <c r="K58" s="4"/>
      <c r="L58" s="4" t="n">
        <v>23796</v>
      </c>
      <c r="M58" s="4"/>
      <c r="N58" s="4"/>
      <c r="O58" s="4"/>
      <c r="P58" s="4"/>
      <c r="Q58" s="4"/>
      <c r="R58" s="4"/>
      <c r="S58" s="4"/>
      <c r="T58" s="4"/>
      <c r="U58" s="4"/>
      <c r="V58" s="4" t="n">
        <v>21384</v>
      </c>
      <c r="W58" s="4"/>
      <c r="X58" s="4"/>
      <c r="Y58" s="4"/>
      <c r="Z58" s="4" t="n">
        <v>19964</v>
      </c>
      <c r="AA58" s="4"/>
    </row>
    <row r="59" customFormat="false" ht="15" hidden="false" customHeight="false" outlineLevel="0" collapsed="false">
      <c r="A59" s="5" t="s">
        <v>83</v>
      </c>
      <c r="B59" s="6" t="n">
        <f aca="false">IF(COUNT(B4:B58)=0,"",SUM(B4:B58))</f>
        <v>1808344</v>
      </c>
      <c r="C59" s="6" t="str">
        <f aca="false">IF(COUNT(C4:C58)=0,"",SUM(C4:C58))</f>
        <v/>
      </c>
      <c r="D59" s="6" t="str">
        <f aca="false">IF(COUNT(D4:D58)=0,"",SUM(D4:D58))</f>
        <v/>
      </c>
      <c r="E59" s="6" t="str">
        <f aca="false">IF(COUNT(E4:E58)=0,"",SUM(E4:E58))</f>
        <v/>
      </c>
      <c r="F59" s="6" t="str">
        <f aca="false">IF(COUNT(F4:F58)=0,"",SUM(F4:F58))</f>
        <v/>
      </c>
      <c r="G59" s="6" t="str">
        <f aca="false">IF(COUNT(G4:G58)=0,"",SUM(G4:G58))</f>
        <v/>
      </c>
      <c r="H59" s="6" t="str">
        <f aca="false">IF(COUNT(H4:H58)=0,"",SUM(H4:H58))</f>
        <v/>
      </c>
      <c r="I59" s="6" t="str">
        <f aca="false">IF(COUNT(I4:I58)=0,"",SUM(I4:I58))</f>
        <v/>
      </c>
      <c r="J59" s="6" t="str">
        <f aca="false">IF(COUNT(J4:J58)=0,"",SUM(J4:J58))</f>
        <v/>
      </c>
      <c r="K59" s="6" t="str">
        <f aca="false">IF(COUNT(K4:K58)=0,"",SUM(K4:K58))</f>
        <v/>
      </c>
      <c r="L59" s="6" t="n">
        <f aca="false">IF(COUNT(L4:L58)=0,"",SUM(L4:L58))</f>
        <v>1852994</v>
      </c>
      <c r="M59" s="6" t="str">
        <f aca="false">IF(COUNT(M4:M58)=0,"",SUM(M4:M58))</f>
        <v/>
      </c>
      <c r="N59" s="6" t="str">
        <f aca="false">IF(COUNT(N4:N58)=0,"",SUM(N4:N58))</f>
        <v/>
      </c>
      <c r="O59" s="6" t="str">
        <f aca="false">IF(COUNT(O4:O58)=0,"",SUM(O4:O58))</f>
        <v/>
      </c>
      <c r="P59" s="6" t="str">
        <f aca="false">IF(COUNT(P4:P58)=0,"",SUM(P4:P58))</f>
        <v/>
      </c>
      <c r="Q59" s="6" t="str">
        <f aca="false">IF(COUNT(Q4:Q58)=0,"",SUM(Q4:Q58))</f>
        <v/>
      </c>
      <c r="R59" s="6" t="str">
        <f aca="false">IF(COUNT(R4:R58)=0,"",SUM(R4:R58))</f>
        <v/>
      </c>
      <c r="S59" s="6" t="str">
        <f aca="false">IF(COUNT(S4:S58)=0,"",SUM(S4:S58))</f>
        <v/>
      </c>
      <c r="T59" s="6" t="str">
        <f aca="false">IF(COUNT(T4:T58)=0,"",SUM(T4:T58))</f>
        <v/>
      </c>
      <c r="U59" s="6" t="str">
        <f aca="false">IF(COUNT(U4:U58)=0,"",SUM(U4:U58))</f>
        <v/>
      </c>
      <c r="V59" s="6" t="n">
        <f aca="false">IF(COUNT(V4:V58)=0,"",SUM(V4:V58))</f>
        <v>1793736</v>
      </c>
      <c r="W59" s="6" t="str">
        <f aca="false">IF(COUNT(W4:W58)=0,"",SUM(W4:W58))</f>
        <v/>
      </c>
      <c r="X59" s="6" t="str">
        <f aca="false">IF(COUNT(X4:X58)=0,"",SUM(X4:X58))</f>
        <v/>
      </c>
      <c r="Y59" s="6" t="str">
        <f aca="false">IF(COUNT(Y4:Y58)=0,"",SUM(Y4:Y58))</f>
        <v/>
      </c>
      <c r="Z59" s="6" t="n">
        <f aca="false">IF(COUNT(Z4:Z58)=0,"",SUM(Z4:Z58))</f>
        <v>1769979</v>
      </c>
      <c r="AA59" s="6" t="str">
        <f aca="false">IF(COUNT(AA4:AA58)=0,"",SUM(AA4:AA58))</f>
        <v/>
      </c>
    </row>
    <row r="61" customFormat="false" ht="15" hidden="false" customHeight="false" outlineLevel="0" collapsed="false">
      <c r="A61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7" min="2" style="0" width="10"/>
  </cols>
  <sheetData>
    <row r="1" customFormat="false" ht="15" hidden="false" customHeight="false" outlineLevel="0" collapsed="false">
      <c r="A1" s="8" t="s">
        <v>85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customFormat="false" ht="15" hidden="false" customHeight="false" outlineLevel="0" collapsed="false">
      <c r="A4" s="9" t="str">
        <f aca="false">Population!A4</f>
        <v>Barbour County</v>
      </c>
      <c r="B4" s="10" t="n">
        <f aca="false">Population!B4</f>
        <v>15557</v>
      </c>
      <c r="C4" s="11" t="n">
        <f aca="false">Population!B4+(Population!L4-Population!B4)*(2001-2000)/(2010-2000)</f>
        <v>15660.2</v>
      </c>
      <c r="D4" s="11" t="n">
        <f aca="false">Population!B4+(Population!L4-Population!B4)*(2002-2000)/(2010-2000)</f>
        <v>15763.4</v>
      </c>
      <c r="E4" s="11" t="n">
        <f aca="false">Population!B4+(Population!L4-Population!B4)*(2003-2000)/(2010-2000)</f>
        <v>15866.6</v>
      </c>
      <c r="F4" s="11" t="n">
        <f aca="false">Population!B4+(Population!L4-Population!B4)*(2004-2000)/(2010-2000)</f>
        <v>15969.8</v>
      </c>
      <c r="G4" s="11" t="n">
        <f aca="false">Population!B4+(Population!L4-Population!B4)*(2005-2000)/(2010-2000)</f>
        <v>16073</v>
      </c>
      <c r="H4" s="11" t="n">
        <f aca="false">Population!B4+(Population!L4-Population!B4)*(2006-2000)/(2010-2000)</f>
        <v>16176.2</v>
      </c>
      <c r="I4" s="11" t="n">
        <f aca="false">Population!B4+(Population!L4-Population!B4)*(2007-2000)/(2010-2000)</f>
        <v>16279.4</v>
      </c>
      <c r="J4" s="11" t="n">
        <f aca="false">Population!B4+(Population!L4-Population!B4)*(2008-2000)/(2010-2000)</f>
        <v>16382.6</v>
      </c>
      <c r="K4" s="11" t="n">
        <f aca="false">Population!B4+(Population!L4-Population!B4)*(2009-2000)/(2010-2000)</f>
        <v>16485.8</v>
      </c>
      <c r="L4" s="10" t="n">
        <f aca="false">Population!L4</f>
        <v>16589</v>
      </c>
      <c r="M4" s="11" t="n">
        <f aca="false">Population!L4+(Population!V4-Population!L4)*(2011-2010)/(2020-2010)</f>
        <v>16476</v>
      </c>
      <c r="N4" s="11" t="n">
        <f aca="false">Population!L4+(Population!V4-Population!L4)*(2012-2010)/(2020-2010)</f>
        <v>16363</v>
      </c>
      <c r="O4" s="11" t="n">
        <f aca="false">Population!L4+(Population!V4-Population!L4)*(2013-2010)/(2020-2010)</f>
        <v>16250</v>
      </c>
      <c r="P4" s="11" t="n">
        <f aca="false">Population!L4+(Population!V4-Population!L4)*(2014-2010)/(2020-2010)</f>
        <v>16137</v>
      </c>
      <c r="Q4" s="11" t="n">
        <f aca="false">Population!L4+(Population!V4-Population!L4)*(2015-2010)/(2020-2010)</f>
        <v>16024</v>
      </c>
      <c r="R4" s="11" t="n">
        <f aca="false">Population!L4+(Population!V4-Population!L4)*(2016-2010)/(2020-2010)</f>
        <v>15911</v>
      </c>
      <c r="S4" s="11" t="n">
        <f aca="false">Population!L4+(Population!V4-Population!L4)*(2017-2010)/(2020-2010)</f>
        <v>15798</v>
      </c>
      <c r="T4" s="11" t="n">
        <f aca="false">Population!L4+(Population!V4-Population!L4)*(2018-2010)/(2020-2010)</f>
        <v>15685</v>
      </c>
      <c r="U4" s="11" t="n">
        <f aca="false">Population!L4+(Population!V4-Population!L4)*(2019-2010)/(2020-2010)</f>
        <v>15572</v>
      </c>
      <c r="V4" s="10" t="n">
        <f aca="false">Population!V4</f>
        <v>15459</v>
      </c>
      <c r="W4" s="11" t="n">
        <f aca="false">Population!V4+(Population!Z4-Population!V4)*(2021-2020)/(2024-2020)</f>
        <v>15436.5</v>
      </c>
      <c r="X4" s="11" t="n">
        <f aca="false">Population!V4+(Population!Z4-Population!V4)*(2022-2020)/(2024-2020)</f>
        <v>15414</v>
      </c>
      <c r="Y4" s="11" t="n">
        <f aca="false">Population!V4+(Population!Z4-Population!V4)*(2023-2020)/(2024-2020)</f>
        <v>15391.5</v>
      </c>
      <c r="Z4" s="10" t="n">
        <f aca="false">Population!Z4</f>
        <v>15369</v>
      </c>
      <c r="AA4" s="12"/>
    </row>
    <row r="5" customFormat="false" ht="15" hidden="false" customHeight="false" outlineLevel="0" collapsed="false">
      <c r="A5" s="9" t="str">
        <f aca="false">Population!A5</f>
        <v>Berkeley County</v>
      </c>
      <c r="B5" s="10" t="n">
        <f aca="false">Population!B5</f>
        <v>75905</v>
      </c>
      <c r="C5" s="11" t="n">
        <f aca="false">Population!B5+(Population!L5-Population!B5)*(2001-2000)/(2010-2000)</f>
        <v>78731.4</v>
      </c>
      <c r="D5" s="11" t="n">
        <f aca="false">Population!B5+(Population!L5-Population!B5)*(2002-2000)/(2010-2000)</f>
        <v>81557.8</v>
      </c>
      <c r="E5" s="11" t="n">
        <f aca="false">Population!B5+(Population!L5-Population!B5)*(2003-2000)/(2010-2000)</f>
        <v>84384.2</v>
      </c>
      <c r="F5" s="11" t="n">
        <f aca="false">Population!B5+(Population!L5-Population!B5)*(2004-2000)/(2010-2000)</f>
        <v>87210.6</v>
      </c>
      <c r="G5" s="11" t="n">
        <f aca="false">Population!B5+(Population!L5-Population!B5)*(2005-2000)/(2010-2000)</f>
        <v>90037</v>
      </c>
      <c r="H5" s="11" t="n">
        <f aca="false">Population!B5+(Population!L5-Population!B5)*(2006-2000)/(2010-2000)</f>
        <v>92863.4</v>
      </c>
      <c r="I5" s="11" t="n">
        <f aca="false">Population!B5+(Population!L5-Population!B5)*(2007-2000)/(2010-2000)</f>
        <v>95689.8</v>
      </c>
      <c r="J5" s="11" t="n">
        <f aca="false">Population!B5+(Population!L5-Population!B5)*(2008-2000)/(2010-2000)</f>
        <v>98516.2</v>
      </c>
      <c r="K5" s="11" t="n">
        <f aca="false">Population!B5+(Population!L5-Population!B5)*(2009-2000)/(2010-2000)</f>
        <v>101342.6</v>
      </c>
      <c r="L5" s="10" t="n">
        <f aca="false">Population!L5</f>
        <v>104169</v>
      </c>
      <c r="M5" s="11" t="n">
        <f aca="false">Population!L5+(Population!V5-Population!L5)*(2011-2010)/(2020-2010)</f>
        <v>105959.1</v>
      </c>
      <c r="N5" s="11" t="n">
        <f aca="false">Population!L5+(Population!V5-Population!L5)*(2012-2010)/(2020-2010)</f>
        <v>107749.2</v>
      </c>
      <c r="O5" s="11" t="n">
        <f aca="false">Population!L5+(Population!V5-Population!L5)*(2013-2010)/(2020-2010)</f>
        <v>109539.3</v>
      </c>
      <c r="P5" s="11" t="n">
        <f aca="false">Population!L5+(Population!V5-Population!L5)*(2014-2010)/(2020-2010)</f>
        <v>111329.4</v>
      </c>
      <c r="Q5" s="11" t="n">
        <f aca="false">Population!L5+(Population!V5-Population!L5)*(2015-2010)/(2020-2010)</f>
        <v>113119.5</v>
      </c>
      <c r="R5" s="11" t="n">
        <f aca="false">Population!L5+(Population!V5-Population!L5)*(2016-2010)/(2020-2010)</f>
        <v>114909.6</v>
      </c>
      <c r="S5" s="11" t="n">
        <f aca="false">Population!L5+(Population!V5-Population!L5)*(2017-2010)/(2020-2010)</f>
        <v>116699.7</v>
      </c>
      <c r="T5" s="11" t="n">
        <f aca="false">Population!L5+(Population!V5-Population!L5)*(2018-2010)/(2020-2010)</f>
        <v>118489.8</v>
      </c>
      <c r="U5" s="11" t="n">
        <f aca="false">Population!L5+(Population!V5-Population!L5)*(2019-2010)/(2020-2010)</f>
        <v>120279.9</v>
      </c>
      <c r="V5" s="10" t="n">
        <f aca="false">Population!V5</f>
        <v>122070</v>
      </c>
      <c r="W5" s="11" t="n">
        <f aca="false">Population!V5+(Population!Z5-Population!V5)*(2021-2020)/(2024-2020)</f>
        <v>125624.25</v>
      </c>
      <c r="X5" s="11" t="n">
        <f aca="false">Population!V5+(Population!Z5-Population!V5)*(2022-2020)/(2024-2020)</f>
        <v>129178.5</v>
      </c>
      <c r="Y5" s="11" t="n">
        <f aca="false">Population!V5+(Population!Z5-Population!V5)*(2023-2020)/(2024-2020)</f>
        <v>132732.75</v>
      </c>
      <c r="Z5" s="10" t="n">
        <f aca="false">Population!Z5</f>
        <v>136287</v>
      </c>
      <c r="AA5" s="12"/>
    </row>
    <row r="6" customFormat="false" ht="15" hidden="false" customHeight="false" outlineLevel="0" collapsed="false">
      <c r="A6" s="9" t="str">
        <f aca="false">Population!A6</f>
        <v>Boone County</v>
      </c>
      <c r="B6" s="10" t="n">
        <f aca="false">Population!B6</f>
        <v>25535</v>
      </c>
      <c r="C6" s="11" t="n">
        <f aca="false">Population!B6+(Population!L6-Population!B6)*(2001-2000)/(2010-2000)</f>
        <v>25444.4</v>
      </c>
      <c r="D6" s="11" t="n">
        <f aca="false">Population!B6+(Population!L6-Population!B6)*(2002-2000)/(2010-2000)</f>
        <v>25353.8</v>
      </c>
      <c r="E6" s="11" t="n">
        <f aca="false">Population!B6+(Population!L6-Population!B6)*(2003-2000)/(2010-2000)</f>
        <v>25263.2</v>
      </c>
      <c r="F6" s="11" t="n">
        <f aca="false">Population!B6+(Population!L6-Population!B6)*(2004-2000)/(2010-2000)</f>
        <v>25172.6</v>
      </c>
      <c r="G6" s="11" t="n">
        <f aca="false">Population!B6+(Population!L6-Population!B6)*(2005-2000)/(2010-2000)</f>
        <v>25082</v>
      </c>
      <c r="H6" s="11" t="n">
        <f aca="false">Population!B6+(Population!L6-Population!B6)*(2006-2000)/(2010-2000)</f>
        <v>24991.4</v>
      </c>
      <c r="I6" s="11" t="n">
        <f aca="false">Population!B6+(Population!L6-Population!B6)*(2007-2000)/(2010-2000)</f>
        <v>24900.8</v>
      </c>
      <c r="J6" s="11" t="n">
        <f aca="false">Population!B6+(Population!L6-Population!B6)*(2008-2000)/(2010-2000)</f>
        <v>24810.2</v>
      </c>
      <c r="K6" s="11" t="n">
        <f aca="false">Population!B6+(Population!L6-Population!B6)*(2009-2000)/(2010-2000)</f>
        <v>24719.6</v>
      </c>
      <c r="L6" s="10" t="n">
        <f aca="false">Population!L6</f>
        <v>24629</v>
      </c>
      <c r="M6" s="11" t="n">
        <f aca="false">Population!L6+(Population!V6-Population!L6)*(2011-2010)/(2020-2010)</f>
        <v>24347.1</v>
      </c>
      <c r="N6" s="11" t="n">
        <f aca="false">Population!L6+(Population!V6-Population!L6)*(2012-2010)/(2020-2010)</f>
        <v>24065.2</v>
      </c>
      <c r="O6" s="11" t="n">
        <f aca="false">Population!L6+(Population!V6-Population!L6)*(2013-2010)/(2020-2010)</f>
        <v>23783.3</v>
      </c>
      <c r="P6" s="11" t="n">
        <f aca="false">Population!L6+(Population!V6-Population!L6)*(2014-2010)/(2020-2010)</f>
        <v>23501.4</v>
      </c>
      <c r="Q6" s="11" t="n">
        <f aca="false">Population!L6+(Population!V6-Population!L6)*(2015-2010)/(2020-2010)</f>
        <v>23219.5</v>
      </c>
      <c r="R6" s="11" t="n">
        <f aca="false">Population!L6+(Population!V6-Population!L6)*(2016-2010)/(2020-2010)</f>
        <v>22937.6</v>
      </c>
      <c r="S6" s="11" t="n">
        <f aca="false">Population!L6+(Population!V6-Population!L6)*(2017-2010)/(2020-2010)</f>
        <v>22655.7</v>
      </c>
      <c r="T6" s="11" t="n">
        <f aca="false">Population!L6+(Population!V6-Population!L6)*(2018-2010)/(2020-2010)</f>
        <v>22373.8</v>
      </c>
      <c r="U6" s="11" t="n">
        <f aca="false">Population!L6+(Population!V6-Population!L6)*(2019-2010)/(2020-2010)</f>
        <v>22091.9</v>
      </c>
      <c r="V6" s="10" t="n">
        <f aca="false">Population!V6</f>
        <v>21810</v>
      </c>
      <c r="W6" s="11" t="n">
        <f aca="false">Population!V6+(Population!Z6-Population!V6)*(2021-2020)/(2024-2020)</f>
        <v>21481.5</v>
      </c>
      <c r="X6" s="11" t="n">
        <f aca="false">Population!V6+(Population!Z6-Population!V6)*(2022-2020)/(2024-2020)</f>
        <v>21153</v>
      </c>
      <c r="Y6" s="11" t="n">
        <f aca="false">Population!V6+(Population!Z6-Population!V6)*(2023-2020)/(2024-2020)</f>
        <v>20824.5</v>
      </c>
      <c r="Z6" s="10" t="n">
        <f aca="false">Population!Z6</f>
        <v>20496</v>
      </c>
      <c r="AA6" s="12"/>
    </row>
    <row r="7" customFormat="false" ht="15" hidden="false" customHeight="false" outlineLevel="0" collapsed="false">
      <c r="A7" s="9" t="str">
        <f aca="false">Population!A7</f>
        <v>Braxton County</v>
      </c>
      <c r="B7" s="10" t="n">
        <f aca="false">Population!B7</f>
        <v>14702</v>
      </c>
      <c r="C7" s="11" t="n">
        <f aca="false">Population!B7+(Population!L7-Population!B7)*(2001-2000)/(2010-2000)</f>
        <v>14684.1</v>
      </c>
      <c r="D7" s="11" t="n">
        <f aca="false">Population!B7+(Population!L7-Population!B7)*(2002-2000)/(2010-2000)</f>
        <v>14666.2</v>
      </c>
      <c r="E7" s="11" t="n">
        <f aca="false">Population!B7+(Population!L7-Population!B7)*(2003-2000)/(2010-2000)</f>
        <v>14648.3</v>
      </c>
      <c r="F7" s="11" t="n">
        <f aca="false">Population!B7+(Population!L7-Population!B7)*(2004-2000)/(2010-2000)</f>
        <v>14630.4</v>
      </c>
      <c r="G7" s="11" t="n">
        <f aca="false">Population!B7+(Population!L7-Population!B7)*(2005-2000)/(2010-2000)</f>
        <v>14612.5</v>
      </c>
      <c r="H7" s="11" t="n">
        <f aca="false">Population!B7+(Population!L7-Population!B7)*(2006-2000)/(2010-2000)</f>
        <v>14594.6</v>
      </c>
      <c r="I7" s="11" t="n">
        <f aca="false">Population!B7+(Population!L7-Population!B7)*(2007-2000)/(2010-2000)</f>
        <v>14576.7</v>
      </c>
      <c r="J7" s="11" t="n">
        <f aca="false">Population!B7+(Population!L7-Population!B7)*(2008-2000)/(2010-2000)</f>
        <v>14558.8</v>
      </c>
      <c r="K7" s="11" t="n">
        <f aca="false">Population!B7+(Population!L7-Population!B7)*(2009-2000)/(2010-2000)</f>
        <v>14540.9</v>
      </c>
      <c r="L7" s="10" t="n">
        <f aca="false">Population!L7</f>
        <v>14523</v>
      </c>
      <c r="M7" s="11" t="n">
        <f aca="false">Population!L7+(Population!V7-Population!L7)*(2011-2010)/(2020-2010)</f>
        <v>14315.3</v>
      </c>
      <c r="N7" s="11" t="n">
        <f aca="false">Population!L7+(Population!V7-Population!L7)*(2012-2010)/(2020-2010)</f>
        <v>14107.6</v>
      </c>
      <c r="O7" s="11" t="n">
        <f aca="false">Population!L7+(Population!V7-Population!L7)*(2013-2010)/(2020-2010)</f>
        <v>13899.9</v>
      </c>
      <c r="P7" s="11" t="n">
        <f aca="false">Population!L7+(Population!V7-Population!L7)*(2014-2010)/(2020-2010)</f>
        <v>13692.2</v>
      </c>
      <c r="Q7" s="11" t="n">
        <f aca="false">Population!L7+(Population!V7-Population!L7)*(2015-2010)/(2020-2010)</f>
        <v>13484.5</v>
      </c>
      <c r="R7" s="11" t="n">
        <f aca="false">Population!L7+(Population!V7-Population!L7)*(2016-2010)/(2020-2010)</f>
        <v>13276.8</v>
      </c>
      <c r="S7" s="11" t="n">
        <f aca="false">Population!L7+(Population!V7-Population!L7)*(2017-2010)/(2020-2010)</f>
        <v>13069.1</v>
      </c>
      <c r="T7" s="11" t="n">
        <f aca="false">Population!L7+(Population!V7-Population!L7)*(2018-2010)/(2020-2010)</f>
        <v>12861.4</v>
      </c>
      <c r="U7" s="11" t="n">
        <f aca="false">Population!L7+(Population!V7-Population!L7)*(2019-2010)/(2020-2010)</f>
        <v>12653.7</v>
      </c>
      <c r="V7" s="10" t="n">
        <f aca="false">Population!V7</f>
        <v>12446</v>
      </c>
      <c r="W7" s="11" t="n">
        <f aca="false">Population!V7+(Population!Z7-Population!V7)*(2021-2020)/(2024-2020)</f>
        <v>12347.25</v>
      </c>
      <c r="X7" s="11" t="n">
        <f aca="false">Population!V7+(Population!Z7-Population!V7)*(2022-2020)/(2024-2020)</f>
        <v>12248.5</v>
      </c>
      <c r="Y7" s="11" t="n">
        <f aca="false">Population!V7+(Population!Z7-Population!V7)*(2023-2020)/(2024-2020)</f>
        <v>12149.75</v>
      </c>
      <c r="Z7" s="10" t="n">
        <f aca="false">Population!Z7</f>
        <v>12051</v>
      </c>
      <c r="AA7" s="12"/>
    </row>
    <row r="8" customFormat="false" ht="15" hidden="false" customHeight="false" outlineLevel="0" collapsed="false">
      <c r="A8" s="9" t="str">
        <f aca="false">Population!A8</f>
        <v>Brooke County</v>
      </c>
      <c r="B8" s="10" t="n">
        <f aca="false">Population!B8</f>
        <v>25447</v>
      </c>
      <c r="C8" s="11" t="n">
        <f aca="false">Population!B8+(Population!L8-Population!B8)*(2001-2000)/(2010-2000)</f>
        <v>25309.2</v>
      </c>
      <c r="D8" s="11" t="n">
        <f aca="false">Population!B8+(Population!L8-Population!B8)*(2002-2000)/(2010-2000)</f>
        <v>25171.4</v>
      </c>
      <c r="E8" s="11" t="n">
        <f aca="false">Population!B8+(Population!L8-Population!B8)*(2003-2000)/(2010-2000)</f>
        <v>25033.6</v>
      </c>
      <c r="F8" s="11" t="n">
        <f aca="false">Population!B8+(Population!L8-Population!B8)*(2004-2000)/(2010-2000)</f>
        <v>24895.8</v>
      </c>
      <c r="G8" s="11" t="n">
        <f aca="false">Population!B8+(Population!L8-Population!B8)*(2005-2000)/(2010-2000)</f>
        <v>24758</v>
      </c>
      <c r="H8" s="11" t="n">
        <f aca="false">Population!B8+(Population!L8-Population!B8)*(2006-2000)/(2010-2000)</f>
        <v>24620.2</v>
      </c>
      <c r="I8" s="11" t="n">
        <f aca="false">Population!B8+(Population!L8-Population!B8)*(2007-2000)/(2010-2000)</f>
        <v>24482.4</v>
      </c>
      <c r="J8" s="11" t="n">
        <f aca="false">Population!B8+(Population!L8-Population!B8)*(2008-2000)/(2010-2000)</f>
        <v>24344.6</v>
      </c>
      <c r="K8" s="11" t="n">
        <f aca="false">Population!B8+(Population!L8-Population!B8)*(2009-2000)/(2010-2000)</f>
        <v>24206.8</v>
      </c>
      <c r="L8" s="10" t="n">
        <f aca="false">Population!L8</f>
        <v>24069</v>
      </c>
      <c r="M8" s="11" t="n">
        <f aca="false">Population!L8+(Population!V8-Population!L8)*(2011-2010)/(2020-2010)</f>
        <v>23917.9</v>
      </c>
      <c r="N8" s="11" t="n">
        <f aca="false">Population!L8+(Population!V8-Population!L8)*(2012-2010)/(2020-2010)</f>
        <v>23766.8</v>
      </c>
      <c r="O8" s="11" t="n">
        <f aca="false">Population!L8+(Population!V8-Population!L8)*(2013-2010)/(2020-2010)</f>
        <v>23615.7</v>
      </c>
      <c r="P8" s="11" t="n">
        <f aca="false">Population!L8+(Population!V8-Population!L8)*(2014-2010)/(2020-2010)</f>
        <v>23464.6</v>
      </c>
      <c r="Q8" s="11" t="n">
        <f aca="false">Population!L8+(Population!V8-Population!L8)*(2015-2010)/(2020-2010)</f>
        <v>23313.5</v>
      </c>
      <c r="R8" s="11" t="n">
        <f aca="false">Population!L8+(Population!V8-Population!L8)*(2016-2010)/(2020-2010)</f>
        <v>23162.4</v>
      </c>
      <c r="S8" s="11" t="n">
        <f aca="false">Population!L8+(Population!V8-Population!L8)*(2017-2010)/(2020-2010)</f>
        <v>23011.3</v>
      </c>
      <c r="T8" s="11" t="n">
        <f aca="false">Population!L8+(Population!V8-Population!L8)*(2018-2010)/(2020-2010)</f>
        <v>22860.2</v>
      </c>
      <c r="U8" s="11" t="n">
        <f aca="false">Population!L8+(Population!V8-Population!L8)*(2019-2010)/(2020-2010)</f>
        <v>22709.1</v>
      </c>
      <c r="V8" s="10" t="n">
        <f aca="false">Population!V8</f>
        <v>22558</v>
      </c>
      <c r="W8" s="11" t="n">
        <f aca="false">Population!V8+(Population!Z8-Population!V8)*(2021-2020)/(2024-2020)</f>
        <v>22239.75</v>
      </c>
      <c r="X8" s="11" t="n">
        <f aca="false">Population!V8+(Population!Z8-Population!V8)*(2022-2020)/(2024-2020)</f>
        <v>21921.5</v>
      </c>
      <c r="Y8" s="11" t="n">
        <f aca="false">Population!V8+(Population!Z8-Population!V8)*(2023-2020)/(2024-2020)</f>
        <v>21603.25</v>
      </c>
      <c r="Z8" s="10" t="n">
        <f aca="false">Population!Z8</f>
        <v>21285</v>
      </c>
      <c r="AA8" s="12"/>
    </row>
    <row r="9" customFormat="false" ht="15" hidden="false" customHeight="false" outlineLevel="0" collapsed="false">
      <c r="A9" s="9" t="str">
        <f aca="false">Population!A9</f>
        <v>Cabell County</v>
      </c>
      <c r="B9" s="10" t="n">
        <f aca="false">Population!B9</f>
        <v>96784</v>
      </c>
      <c r="C9" s="11" t="n">
        <f aca="false">Population!B9+(Population!L9-Population!B9)*(2001-2000)/(2010-2000)</f>
        <v>96737.5</v>
      </c>
      <c r="D9" s="11" t="n">
        <f aca="false">Population!B9+(Population!L9-Population!B9)*(2002-2000)/(2010-2000)</f>
        <v>96691</v>
      </c>
      <c r="E9" s="11" t="n">
        <f aca="false">Population!B9+(Population!L9-Population!B9)*(2003-2000)/(2010-2000)</f>
        <v>96644.5</v>
      </c>
      <c r="F9" s="11" t="n">
        <f aca="false">Population!B9+(Population!L9-Population!B9)*(2004-2000)/(2010-2000)</f>
        <v>96598</v>
      </c>
      <c r="G9" s="11" t="n">
        <f aca="false">Population!B9+(Population!L9-Population!B9)*(2005-2000)/(2010-2000)</f>
        <v>96551.5</v>
      </c>
      <c r="H9" s="11" t="n">
        <f aca="false">Population!B9+(Population!L9-Population!B9)*(2006-2000)/(2010-2000)</f>
        <v>96505</v>
      </c>
      <c r="I9" s="11" t="n">
        <f aca="false">Population!B9+(Population!L9-Population!B9)*(2007-2000)/(2010-2000)</f>
        <v>96458.5</v>
      </c>
      <c r="J9" s="11" t="n">
        <f aca="false">Population!B9+(Population!L9-Population!B9)*(2008-2000)/(2010-2000)</f>
        <v>96412</v>
      </c>
      <c r="K9" s="11" t="n">
        <f aca="false">Population!B9+(Population!L9-Population!B9)*(2009-2000)/(2010-2000)</f>
        <v>96365.5</v>
      </c>
      <c r="L9" s="10" t="n">
        <f aca="false">Population!L9</f>
        <v>96319</v>
      </c>
      <c r="M9" s="11" t="n">
        <f aca="false">Population!L9+(Population!V9-Population!L9)*(2011-2010)/(2020-2010)</f>
        <v>96122.1</v>
      </c>
      <c r="N9" s="11" t="n">
        <f aca="false">Population!L9+(Population!V9-Population!L9)*(2012-2010)/(2020-2010)</f>
        <v>95925.2</v>
      </c>
      <c r="O9" s="11" t="n">
        <f aca="false">Population!L9+(Population!V9-Population!L9)*(2013-2010)/(2020-2010)</f>
        <v>95728.3</v>
      </c>
      <c r="P9" s="11" t="n">
        <f aca="false">Population!L9+(Population!V9-Population!L9)*(2014-2010)/(2020-2010)</f>
        <v>95531.4</v>
      </c>
      <c r="Q9" s="11" t="n">
        <f aca="false">Population!L9+(Population!V9-Population!L9)*(2015-2010)/(2020-2010)</f>
        <v>95334.5</v>
      </c>
      <c r="R9" s="11" t="n">
        <f aca="false">Population!L9+(Population!V9-Population!L9)*(2016-2010)/(2020-2010)</f>
        <v>95137.6</v>
      </c>
      <c r="S9" s="11" t="n">
        <f aca="false">Population!L9+(Population!V9-Population!L9)*(2017-2010)/(2020-2010)</f>
        <v>94940.7</v>
      </c>
      <c r="T9" s="11" t="n">
        <f aca="false">Population!L9+(Population!V9-Population!L9)*(2018-2010)/(2020-2010)</f>
        <v>94743.8</v>
      </c>
      <c r="U9" s="11" t="n">
        <f aca="false">Population!L9+(Population!V9-Population!L9)*(2019-2010)/(2020-2010)</f>
        <v>94546.9</v>
      </c>
      <c r="V9" s="10" t="n">
        <f aca="false">Population!V9</f>
        <v>94350</v>
      </c>
      <c r="W9" s="11" t="n">
        <f aca="false">Population!V9+(Population!Z9-Population!V9)*(2021-2020)/(2024-2020)</f>
        <v>93634.75</v>
      </c>
      <c r="X9" s="11" t="n">
        <f aca="false">Population!V9+(Population!Z9-Population!V9)*(2022-2020)/(2024-2020)</f>
        <v>92919.5</v>
      </c>
      <c r="Y9" s="11" t="n">
        <f aca="false">Population!V9+(Population!Z9-Population!V9)*(2023-2020)/(2024-2020)</f>
        <v>92204.25</v>
      </c>
      <c r="Z9" s="10" t="n">
        <f aca="false">Population!Z9</f>
        <v>91489</v>
      </c>
      <c r="AA9" s="12"/>
    </row>
    <row r="10" customFormat="false" ht="15" hidden="false" customHeight="false" outlineLevel="0" collapsed="false">
      <c r="A10" s="9" t="str">
        <f aca="false">Population!A10</f>
        <v>Calhoun County</v>
      </c>
      <c r="B10" s="10" t="n">
        <f aca="false">Population!B10</f>
        <v>7582</v>
      </c>
      <c r="C10" s="11" t="n">
        <f aca="false">Population!B10+(Population!L10-Population!B10)*(2001-2000)/(2010-2000)</f>
        <v>7586.5</v>
      </c>
      <c r="D10" s="11" t="n">
        <f aca="false">Population!B10+(Population!L10-Population!B10)*(2002-2000)/(2010-2000)</f>
        <v>7591</v>
      </c>
      <c r="E10" s="11" t="n">
        <f aca="false">Population!B10+(Population!L10-Population!B10)*(2003-2000)/(2010-2000)</f>
        <v>7595.5</v>
      </c>
      <c r="F10" s="11" t="n">
        <f aca="false">Population!B10+(Population!L10-Population!B10)*(2004-2000)/(2010-2000)</f>
        <v>7600</v>
      </c>
      <c r="G10" s="11" t="n">
        <f aca="false">Population!B10+(Population!L10-Population!B10)*(2005-2000)/(2010-2000)</f>
        <v>7604.5</v>
      </c>
      <c r="H10" s="11" t="n">
        <f aca="false">Population!B10+(Population!L10-Population!B10)*(2006-2000)/(2010-2000)</f>
        <v>7609</v>
      </c>
      <c r="I10" s="11" t="n">
        <f aca="false">Population!B10+(Population!L10-Population!B10)*(2007-2000)/(2010-2000)</f>
        <v>7613.5</v>
      </c>
      <c r="J10" s="11" t="n">
        <f aca="false">Population!B10+(Population!L10-Population!B10)*(2008-2000)/(2010-2000)</f>
        <v>7618</v>
      </c>
      <c r="K10" s="11" t="n">
        <f aca="false">Population!B10+(Population!L10-Population!B10)*(2009-2000)/(2010-2000)</f>
        <v>7622.5</v>
      </c>
      <c r="L10" s="10" t="n">
        <f aca="false">Population!L10</f>
        <v>7627</v>
      </c>
      <c r="M10" s="11" t="n">
        <f aca="false">Population!L10+(Population!V10-Population!L10)*(2011-2010)/(2020-2010)</f>
        <v>7486.7</v>
      </c>
      <c r="N10" s="11" t="n">
        <f aca="false">Population!L10+(Population!V10-Population!L10)*(2012-2010)/(2020-2010)</f>
        <v>7346.4</v>
      </c>
      <c r="O10" s="11" t="n">
        <f aca="false">Population!L10+(Population!V10-Population!L10)*(2013-2010)/(2020-2010)</f>
        <v>7206.1</v>
      </c>
      <c r="P10" s="11" t="n">
        <f aca="false">Population!L10+(Population!V10-Population!L10)*(2014-2010)/(2020-2010)</f>
        <v>7065.8</v>
      </c>
      <c r="Q10" s="11" t="n">
        <f aca="false">Population!L10+(Population!V10-Population!L10)*(2015-2010)/(2020-2010)</f>
        <v>6925.5</v>
      </c>
      <c r="R10" s="11" t="n">
        <f aca="false">Population!L10+(Population!V10-Population!L10)*(2016-2010)/(2020-2010)</f>
        <v>6785.2</v>
      </c>
      <c r="S10" s="11" t="n">
        <f aca="false">Population!L10+(Population!V10-Population!L10)*(2017-2010)/(2020-2010)</f>
        <v>6644.9</v>
      </c>
      <c r="T10" s="11" t="n">
        <f aca="false">Population!L10+(Population!V10-Population!L10)*(2018-2010)/(2020-2010)</f>
        <v>6504.6</v>
      </c>
      <c r="U10" s="11" t="n">
        <f aca="false">Population!L10+(Population!V10-Population!L10)*(2019-2010)/(2020-2010)</f>
        <v>6364.3</v>
      </c>
      <c r="V10" s="10" t="n">
        <f aca="false">Population!V10</f>
        <v>6224</v>
      </c>
      <c r="W10" s="11" t="n">
        <f aca="false">Population!V10+(Population!Z10-Population!V10)*(2021-2020)/(2024-2020)</f>
        <v>6136.25</v>
      </c>
      <c r="X10" s="11" t="n">
        <f aca="false">Population!V10+(Population!Z10-Population!V10)*(2022-2020)/(2024-2020)</f>
        <v>6048.5</v>
      </c>
      <c r="Y10" s="11" t="n">
        <f aca="false">Population!V10+(Population!Z10-Population!V10)*(2023-2020)/(2024-2020)</f>
        <v>5960.75</v>
      </c>
      <c r="Z10" s="10" t="n">
        <f aca="false">Population!Z10</f>
        <v>5873</v>
      </c>
      <c r="AA10" s="12"/>
    </row>
    <row r="11" customFormat="false" ht="15" hidden="false" customHeight="false" outlineLevel="0" collapsed="false">
      <c r="A11" s="9" t="str">
        <f aca="false">Population!A11</f>
        <v>Clay County</v>
      </c>
      <c r="B11" s="10" t="n">
        <f aca="false">Population!B11</f>
        <v>10330</v>
      </c>
      <c r="C11" s="11" t="n">
        <f aca="false">Population!B11+(Population!L11-Population!B11)*(2001-2000)/(2010-2000)</f>
        <v>10235.6</v>
      </c>
      <c r="D11" s="11" t="n">
        <f aca="false">Population!B11+(Population!L11-Population!B11)*(2002-2000)/(2010-2000)</f>
        <v>10141.2</v>
      </c>
      <c r="E11" s="11" t="n">
        <f aca="false">Population!B11+(Population!L11-Population!B11)*(2003-2000)/(2010-2000)</f>
        <v>10046.8</v>
      </c>
      <c r="F11" s="11" t="n">
        <f aca="false">Population!B11+(Population!L11-Population!B11)*(2004-2000)/(2010-2000)</f>
        <v>9952.4</v>
      </c>
      <c r="G11" s="11" t="n">
        <f aca="false">Population!B11+(Population!L11-Population!B11)*(2005-2000)/(2010-2000)</f>
        <v>9858</v>
      </c>
      <c r="H11" s="11" t="n">
        <f aca="false">Population!B11+(Population!L11-Population!B11)*(2006-2000)/(2010-2000)</f>
        <v>9763.6</v>
      </c>
      <c r="I11" s="11" t="n">
        <f aca="false">Population!B11+(Population!L11-Population!B11)*(2007-2000)/(2010-2000)</f>
        <v>9669.2</v>
      </c>
      <c r="J11" s="11" t="n">
        <f aca="false">Population!B11+(Population!L11-Population!B11)*(2008-2000)/(2010-2000)</f>
        <v>9574.8</v>
      </c>
      <c r="K11" s="11" t="n">
        <f aca="false">Population!B11+(Population!L11-Population!B11)*(2009-2000)/(2010-2000)</f>
        <v>9480.4</v>
      </c>
      <c r="L11" s="10" t="n">
        <f aca="false">Population!L11</f>
        <v>9386</v>
      </c>
      <c r="M11" s="11" t="n">
        <f aca="false">Population!L11+(Population!V11-Population!L11)*(2011-2010)/(2020-2010)</f>
        <v>9252.9</v>
      </c>
      <c r="N11" s="11" t="n">
        <f aca="false">Population!L11+(Population!V11-Population!L11)*(2012-2010)/(2020-2010)</f>
        <v>9119.8</v>
      </c>
      <c r="O11" s="11" t="n">
        <f aca="false">Population!L11+(Population!V11-Population!L11)*(2013-2010)/(2020-2010)</f>
        <v>8986.7</v>
      </c>
      <c r="P11" s="11" t="n">
        <f aca="false">Population!L11+(Population!V11-Population!L11)*(2014-2010)/(2020-2010)</f>
        <v>8853.6</v>
      </c>
      <c r="Q11" s="11" t="n">
        <f aca="false">Population!L11+(Population!V11-Population!L11)*(2015-2010)/(2020-2010)</f>
        <v>8720.5</v>
      </c>
      <c r="R11" s="11" t="n">
        <f aca="false">Population!L11+(Population!V11-Population!L11)*(2016-2010)/(2020-2010)</f>
        <v>8587.4</v>
      </c>
      <c r="S11" s="11" t="n">
        <f aca="false">Population!L11+(Population!V11-Population!L11)*(2017-2010)/(2020-2010)</f>
        <v>8454.3</v>
      </c>
      <c r="T11" s="11" t="n">
        <f aca="false">Population!L11+(Population!V11-Population!L11)*(2018-2010)/(2020-2010)</f>
        <v>8321.2</v>
      </c>
      <c r="U11" s="11" t="n">
        <f aca="false">Population!L11+(Population!V11-Population!L11)*(2019-2010)/(2020-2010)</f>
        <v>8188.1</v>
      </c>
      <c r="V11" s="10" t="n">
        <f aca="false">Population!V11</f>
        <v>8055</v>
      </c>
      <c r="W11" s="11" t="n">
        <f aca="false">Population!V11+(Population!Z11-Population!V11)*(2021-2020)/(2024-2020)</f>
        <v>7963.5</v>
      </c>
      <c r="X11" s="11" t="n">
        <f aca="false">Population!V11+(Population!Z11-Population!V11)*(2022-2020)/(2024-2020)</f>
        <v>7872</v>
      </c>
      <c r="Y11" s="11" t="n">
        <f aca="false">Population!V11+(Population!Z11-Population!V11)*(2023-2020)/(2024-2020)</f>
        <v>7780.5</v>
      </c>
      <c r="Z11" s="10" t="n">
        <f aca="false">Population!Z11</f>
        <v>7689</v>
      </c>
      <c r="AA11" s="12"/>
    </row>
    <row r="12" customFormat="false" ht="15" hidden="false" customHeight="false" outlineLevel="0" collapsed="false">
      <c r="A12" s="9" t="str">
        <f aca="false">Population!A12</f>
        <v>Doddridge County</v>
      </c>
      <c r="B12" s="10" t="n">
        <f aca="false">Population!B12</f>
        <v>7403</v>
      </c>
      <c r="C12" s="11" t="n">
        <f aca="false">Population!B12+(Population!L12-Population!B12)*(2001-2000)/(2010-2000)</f>
        <v>7482.9</v>
      </c>
      <c r="D12" s="11" t="n">
        <f aca="false">Population!B12+(Population!L12-Population!B12)*(2002-2000)/(2010-2000)</f>
        <v>7562.8</v>
      </c>
      <c r="E12" s="11" t="n">
        <f aca="false">Population!B12+(Population!L12-Population!B12)*(2003-2000)/(2010-2000)</f>
        <v>7642.7</v>
      </c>
      <c r="F12" s="11" t="n">
        <f aca="false">Population!B12+(Population!L12-Population!B12)*(2004-2000)/(2010-2000)</f>
        <v>7722.6</v>
      </c>
      <c r="G12" s="11" t="n">
        <f aca="false">Population!B12+(Population!L12-Population!B12)*(2005-2000)/(2010-2000)</f>
        <v>7802.5</v>
      </c>
      <c r="H12" s="11" t="n">
        <f aca="false">Population!B12+(Population!L12-Population!B12)*(2006-2000)/(2010-2000)</f>
        <v>7882.4</v>
      </c>
      <c r="I12" s="11" t="n">
        <f aca="false">Population!B12+(Population!L12-Population!B12)*(2007-2000)/(2010-2000)</f>
        <v>7962.3</v>
      </c>
      <c r="J12" s="11" t="n">
        <f aca="false">Population!B12+(Population!L12-Population!B12)*(2008-2000)/(2010-2000)</f>
        <v>8042.2</v>
      </c>
      <c r="K12" s="11" t="n">
        <f aca="false">Population!B12+(Population!L12-Population!B12)*(2009-2000)/(2010-2000)</f>
        <v>8122.1</v>
      </c>
      <c r="L12" s="10" t="n">
        <f aca="false">Population!L12</f>
        <v>8202</v>
      </c>
      <c r="M12" s="11" t="n">
        <f aca="false">Population!L12+(Population!V12-Population!L12)*(2011-2010)/(2020-2010)</f>
        <v>8162.8</v>
      </c>
      <c r="N12" s="11" t="n">
        <f aca="false">Population!L12+(Population!V12-Population!L12)*(2012-2010)/(2020-2010)</f>
        <v>8123.6</v>
      </c>
      <c r="O12" s="11" t="n">
        <f aca="false">Population!L12+(Population!V12-Population!L12)*(2013-2010)/(2020-2010)</f>
        <v>8084.4</v>
      </c>
      <c r="P12" s="11" t="n">
        <f aca="false">Population!L12+(Population!V12-Population!L12)*(2014-2010)/(2020-2010)</f>
        <v>8045.2</v>
      </c>
      <c r="Q12" s="11" t="n">
        <f aca="false">Population!L12+(Population!V12-Population!L12)*(2015-2010)/(2020-2010)</f>
        <v>8006</v>
      </c>
      <c r="R12" s="11" t="n">
        <f aca="false">Population!L12+(Population!V12-Population!L12)*(2016-2010)/(2020-2010)</f>
        <v>7966.8</v>
      </c>
      <c r="S12" s="11" t="n">
        <f aca="false">Population!L12+(Population!V12-Population!L12)*(2017-2010)/(2020-2010)</f>
        <v>7927.6</v>
      </c>
      <c r="T12" s="11" t="n">
        <f aca="false">Population!L12+(Population!V12-Population!L12)*(2018-2010)/(2020-2010)</f>
        <v>7888.4</v>
      </c>
      <c r="U12" s="11" t="n">
        <f aca="false">Population!L12+(Population!V12-Population!L12)*(2019-2010)/(2020-2010)</f>
        <v>7849.2</v>
      </c>
      <c r="V12" s="10" t="n">
        <f aca="false">Population!V12</f>
        <v>7810</v>
      </c>
      <c r="W12" s="11" t="n">
        <f aca="false">Population!V12+(Population!Z12-Population!V12)*(2021-2020)/(2024-2020)</f>
        <v>7761.25</v>
      </c>
      <c r="X12" s="11" t="n">
        <f aca="false">Population!V12+(Population!Z12-Population!V12)*(2022-2020)/(2024-2020)</f>
        <v>7712.5</v>
      </c>
      <c r="Y12" s="11" t="n">
        <f aca="false">Population!V12+(Population!Z12-Population!V12)*(2023-2020)/(2024-2020)</f>
        <v>7663.75</v>
      </c>
      <c r="Z12" s="10" t="n">
        <f aca="false">Population!Z12</f>
        <v>7615</v>
      </c>
      <c r="AA12" s="12"/>
    </row>
    <row r="13" customFormat="false" ht="15" hidden="false" customHeight="false" outlineLevel="0" collapsed="false">
      <c r="A13" s="9" t="str">
        <f aca="false">Population!A13</f>
        <v>Fayette County</v>
      </c>
      <c r="B13" s="10" t="n">
        <f aca="false">Population!B13</f>
        <v>47579</v>
      </c>
      <c r="C13" s="11" t="n">
        <f aca="false">Population!B13+(Population!L13-Population!B13)*(2001-2000)/(2010-2000)</f>
        <v>47425</v>
      </c>
      <c r="D13" s="11" t="n">
        <f aca="false">Population!B13+(Population!L13-Population!B13)*(2002-2000)/(2010-2000)</f>
        <v>47271</v>
      </c>
      <c r="E13" s="11" t="n">
        <f aca="false">Population!B13+(Population!L13-Population!B13)*(2003-2000)/(2010-2000)</f>
        <v>47117</v>
      </c>
      <c r="F13" s="11" t="n">
        <f aca="false">Population!B13+(Population!L13-Population!B13)*(2004-2000)/(2010-2000)</f>
        <v>46963</v>
      </c>
      <c r="G13" s="11" t="n">
        <f aca="false">Population!B13+(Population!L13-Population!B13)*(2005-2000)/(2010-2000)</f>
        <v>46809</v>
      </c>
      <c r="H13" s="11" t="n">
        <f aca="false">Population!B13+(Population!L13-Population!B13)*(2006-2000)/(2010-2000)</f>
        <v>46655</v>
      </c>
      <c r="I13" s="11" t="n">
        <f aca="false">Population!B13+(Population!L13-Population!B13)*(2007-2000)/(2010-2000)</f>
        <v>46501</v>
      </c>
      <c r="J13" s="11" t="n">
        <f aca="false">Population!B13+(Population!L13-Population!B13)*(2008-2000)/(2010-2000)</f>
        <v>46347</v>
      </c>
      <c r="K13" s="11" t="n">
        <f aca="false">Population!B13+(Population!L13-Population!B13)*(2009-2000)/(2010-2000)</f>
        <v>46193</v>
      </c>
      <c r="L13" s="10" t="n">
        <f aca="false">Population!L13</f>
        <v>46039</v>
      </c>
      <c r="M13" s="11" t="n">
        <f aca="false">Population!L13+(Population!V13-Population!L13)*(2011-2010)/(2020-2010)</f>
        <v>45485</v>
      </c>
      <c r="N13" s="11" t="n">
        <f aca="false">Population!L13+(Population!V13-Population!L13)*(2012-2010)/(2020-2010)</f>
        <v>44931</v>
      </c>
      <c r="O13" s="11" t="n">
        <f aca="false">Population!L13+(Population!V13-Population!L13)*(2013-2010)/(2020-2010)</f>
        <v>44377</v>
      </c>
      <c r="P13" s="11" t="n">
        <f aca="false">Population!L13+(Population!V13-Population!L13)*(2014-2010)/(2020-2010)</f>
        <v>43823</v>
      </c>
      <c r="Q13" s="11" t="n">
        <f aca="false">Population!L13+(Population!V13-Population!L13)*(2015-2010)/(2020-2010)</f>
        <v>43269</v>
      </c>
      <c r="R13" s="11" t="n">
        <f aca="false">Population!L13+(Population!V13-Population!L13)*(2016-2010)/(2020-2010)</f>
        <v>42715</v>
      </c>
      <c r="S13" s="11" t="n">
        <f aca="false">Population!L13+(Population!V13-Population!L13)*(2017-2010)/(2020-2010)</f>
        <v>42161</v>
      </c>
      <c r="T13" s="11" t="n">
        <f aca="false">Population!L13+(Population!V13-Population!L13)*(2018-2010)/(2020-2010)</f>
        <v>41607</v>
      </c>
      <c r="U13" s="11" t="n">
        <f aca="false">Population!L13+(Population!V13-Population!L13)*(2019-2010)/(2020-2010)</f>
        <v>41053</v>
      </c>
      <c r="V13" s="10" t="n">
        <f aca="false">Population!V13</f>
        <v>40499</v>
      </c>
      <c r="W13" s="11" t="n">
        <f aca="false">Population!V13+(Population!Z13-Population!V13)*(2021-2020)/(2024-2020)</f>
        <v>40024.25</v>
      </c>
      <c r="X13" s="11" t="n">
        <f aca="false">Population!V13+(Population!Z13-Population!V13)*(2022-2020)/(2024-2020)</f>
        <v>39549.5</v>
      </c>
      <c r="Y13" s="11" t="n">
        <f aca="false">Population!V13+(Population!Z13-Population!V13)*(2023-2020)/(2024-2020)</f>
        <v>39074.75</v>
      </c>
      <c r="Z13" s="10" t="n">
        <f aca="false">Population!Z13</f>
        <v>38600</v>
      </c>
      <c r="AA13" s="12"/>
    </row>
    <row r="14" customFormat="false" ht="15" hidden="false" customHeight="false" outlineLevel="0" collapsed="false">
      <c r="A14" s="9" t="str">
        <f aca="false">Population!A14</f>
        <v>Gilmer County</v>
      </c>
      <c r="B14" s="10" t="n">
        <f aca="false">Population!B14</f>
        <v>7160</v>
      </c>
      <c r="C14" s="11" t="n">
        <f aca="false">Population!B14+(Population!L14-Population!B14)*(2001-2000)/(2010-2000)</f>
        <v>7313.3</v>
      </c>
      <c r="D14" s="11" t="n">
        <f aca="false">Population!B14+(Population!L14-Population!B14)*(2002-2000)/(2010-2000)</f>
        <v>7466.6</v>
      </c>
      <c r="E14" s="11" t="n">
        <f aca="false">Population!B14+(Population!L14-Population!B14)*(2003-2000)/(2010-2000)</f>
        <v>7619.9</v>
      </c>
      <c r="F14" s="11" t="n">
        <f aca="false">Population!B14+(Population!L14-Population!B14)*(2004-2000)/(2010-2000)</f>
        <v>7773.2</v>
      </c>
      <c r="G14" s="11" t="n">
        <f aca="false">Population!B14+(Population!L14-Population!B14)*(2005-2000)/(2010-2000)</f>
        <v>7926.5</v>
      </c>
      <c r="H14" s="11" t="n">
        <f aca="false">Population!B14+(Population!L14-Population!B14)*(2006-2000)/(2010-2000)</f>
        <v>8079.8</v>
      </c>
      <c r="I14" s="11" t="n">
        <f aca="false">Population!B14+(Population!L14-Population!B14)*(2007-2000)/(2010-2000)</f>
        <v>8233.1</v>
      </c>
      <c r="J14" s="11" t="n">
        <f aca="false">Population!B14+(Population!L14-Population!B14)*(2008-2000)/(2010-2000)</f>
        <v>8386.4</v>
      </c>
      <c r="K14" s="11" t="n">
        <f aca="false">Population!B14+(Population!L14-Population!B14)*(2009-2000)/(2010-2000)</f>
        <v>8539.7</v>
      </c>
      <c r="L14" s="10" t="n">
        <f aca="false">Population!L14</f>
        <v>8693</v>
      </c>
      <c r="M14" s="11" t="n">
        <f aca="false">Population!L14+(Population!V14-Population!L14)*(2011-2010)/(2020-2010)</f>
        <v>8565.5</v>
      </c>
      <c r="N14" s="11" t="n">
        <f aca="false">Population!L14+(Population!V14-Population!L14)*(2012-2010)/(2020-2010)</f>
        <v>8438</v>
      </c>
      <c r="O14" s="11" t="n">
        <f aca="false">Population!L14+(Population!V14-Population!L14)*(2013-2010)/(2020-2010)</f>
        <v>8310.5</v>
      </c>
      <c r="P14" s="11" t="n">
        <f aca="false">Population!L14+(Population!V14-Population!L14)*(2014-2010)/(2020-2010)</f>
        <v>8183</v>
      </c>
      <c r="Q14" s="11" t="n">
        <f aca="false">Population!L14+(Population!V14-Population!L14)*(2015-2010)/(2020-2010)</f>
        <v>8055.5</v>
      </c>
      <c r="R14" s="11" t="n">
        <f aca="false">Population!L14+(Population!V14-Population!L14)*(2016-2010)/(2020-2010)</f>
        <v>7928</v>
      </c>
      <c r="S14" s="11" t="n">
        <f aca="false">Population!L14+(Population!V14-Population!L14)*(2017-2010)/(2020-2010)</f>
        <v>7800.5</v>
      </c>
      <c r="T14" s="11" t="n">
        <f aca="false">Population!L14+(Population!V14-Population!L14)*(2018-2010)/(2020-2010)</f>
        <v>7673</v>
      </c>
      <c r="U14" s="11" t="n">
        <f aca="false">Population!L14+(Population!V14-Population!L14)*(2019-2010)/(2020-2010)</f>
        <v>7545.5</v>
      </c>
      <c r="V14" s="10" t="n">
        <f aca="false">Population!V14</f>
        <v>7418</v>
      </c>
      <c r="W14" s="11" t="n">
        <f aca="false">Population!V14+(Population!Z14-Population!V14)*(2021-2020)/(2024-2020)</f>
        <v>7342.5</v>
      </c>
      <c r="X14" s="11" t="n">
        <f aca="false">Population!V14+(Population!Z14-Population!V14)*(2022-2020)/(2024-2020)</f>
        <v>7267</v>
      </c>
      <c r="Y14" s="11" t="n">
        <f aca="false">Population!V14+(Population!Z14-Population!V14)*(2023-2020)/(2024-2020)</f>
        <v>7191.5</v>
      </c>
      <c r="Z14" s="10" t="n">
        <f aca="false">Population!Z14</f>
        <v>7116</v>
      </c>
      <c r="AA14" s="12"/>
    </row>
    <row r="15" customFormat="false" ht="15" hidden="false" customHeight="false" outlineLevel="0" collapsed="false">
      <c r="A15" s="9" t="str">
        <f aca="false">Population!A15</f>
        <v>Grant County</v>
      </c>
      <c r="B15" s="10" t="n">
        <f aca="false">Population!B15</f>
        <v>11299</v>
      </c>
      <c r="C15" s="11" t="n">
        <f aca="false">Population!B15+(Population!L15-Population!B15)*(2001-2000)/(2010-2000)</f>
        <v>11362.8</v>
      </c>
      <c r="D15" s="11" t="n">
        <f aca="false">Population!B15+(Population!L15-Population!B15)*(2002-2000)/(2010-2000)</f>
        <v>11426.6</v>
      </c>
      <c r="E15" s="11" t="n">
        <f aca="false">Population!B15+(Population!L15-Population!B15)*(2003-2000)/(2010-2000)</f>
        <v>11490.4</v>
      </c>
      <c r="F15" s="11" t="n">
        <f aca="false">Population!B15+(Population!L15-Population!B15)*(2004-2000)/(2010-2000)</f>
        <v>11554.2</v>
      </c>
      <c r="G15" s="11" t="n">
        <f aca="false">Population!B15+(Population!L15-Population!B15)*(2005-2000)/(2010-2000)</f>
        <v>11618</v>
      </c>
      <c r="H15" s="11" t="n">
        <f aca="false">Population!B15+(Population!L15-Population!B15)*(2006-2000)/(2010-2000)</f>
        <v>11681.8</v>
      </c>
      <c r="I15" s="11" t="n">
        <f aca="false">Population!B15+(Population!L15-Population!B15)*(2007-2000)/(2010-2000)</f>
        <v>11745.6</v>
      </c>
      <c r="J15" s="11" t="n">
        <f aca="false">Population!B15+(Population!L15-Population!B15)*(2008-2000)/(2010-2000)</f>
        <v>11809.4</v>
      </c>
      <c r="K15" s="11" t="n">
        <f aca="false">Population!B15+(Population!L15-Population!B15)*(2009-2000)/(2010-2000)</f>
        <v>11873.2</v>
      </c>
      <c r="L15" s="10" t="n">
        <f aca="false">Population!L15</f>
        <v>11937</v>
      </c>
      <c r="M15" s="11" t="n">
        <f aca="false">Population!L15+(Population!V15-Population!L15)*(2011-2010)/(2020-2010)</f>
        <v>11841.3</v>
      </c>
      <c r="N15" s="11" t="n">
        <f aca="false">Population!L15+(Population!V15-Population!L15)*(2012-2010)/(2020-2010)</f>
        <v>11745.6</v>
      </c>
      <c r="O15" s="11" t="n">
        <f aca="false">Population!L15+(Population!V15-Population!L15)*(2013-2010)/(2020-2010)</f>
        <v>11649.9</v>
      </c>
      <c r="P15" s="11" t="n">
        <f aca="false">Population!L15+(Population!V15-Population!L15)*(2014-2010)/(2020-2010)</f>
        <v>11554.2</v>
      </c>
      <c r="Q15" s="11" t="n">
        <f aca="false">Population!L15+(Population!V15-Population!L15)*(2015-2010)/(2020-2010)</f>
        <v>11458.5</v>
      </c>
      <c r="R15" s="11" t="n">
        <f aca="false">Population!L15+(Population!V15-Population!L15)*(2016-2010)/(2020-2010)</f>
        <v>11362.8</v>
      </c>
      <c r="S15" s="11" t="n">
        <f aca="false">Population!L15+(Population!V15-Population!L15)*(2017-2010)/(2020-2010)</f>
        <v>11267.1</v>
      </c>
      <c r="T15" s="11" t="n">
        <f aca="false">Population!L15+(Population!V15-Population!L15)*(2018-2010)/(2020-2010)</f>
        <v>11171.4</v>
      </c>
      <c r="U15" s="11" t="n">
        <f aca="false">Population!L15+(Population!V15-Population!L15)*(2019-2010)/(2020-2010)</f>
        <v>11075.7</v>
      </c>
      <c r="V15" s="10" t="n">
        <f aca="false">Population!V15</f>
        <v>10980</v>
      </c>
      <c r="W15" s="11" t="n">
        <f aca="false">Population!V15+(Population!Z15-Population!V15)*(2021-2020)/(2024-2020)</f>
        <v>10977.75</v>
      </c>
      <c r="X15" s="11" t="n">
        <f aca="false">Population!V15+(Population!Z15-Population!V15)*(2022-2020)/(2024-2020)</f>
        <v>10975.5</v>
      </c>
      <c r="Y15" s="11" t="n">
        <f aca="false">Population!V15+(Population!Z15-Population!V15)*(2023-2020)/(2024-2020)</f>
        <v>10973.25</v>
      </c>
      <c r="Z15" s="10" t="n">
        <f aca="false">Population!Z15</f>
        <v>10971</v>
      </c>
      <c r="AA15" s="12"/>
    </row>
    <row r="16" customFormat="false" ht="15" hidden="false" customHeight="false" outlineLevel="0" collapsed="false">
      <c r="A16" s="9" t="str">
        <f aca="false">Population!A16</f>
        <v>Greenbrier County</v>
      </c>
      <c r="B16" s="10" t="n">
        <f aca="false">Population!B16</f>
        <v>34453</v>
      </c>
      <c r="C16" s="11" t="n">
        <f aca="false">Population!B16+(Population!L16-Population!B16)*(2001-2000)/(2010-2000)</f>
        <v>34555.7</v>
      </c>
      <c r="D16" s="11" t="n">
        <f aca="false">Population!B16+(Population!L16-Population!B16)*(2002-2000)/(2010-2000)</f>
        <v>34658.4</v>
      </c>
      <c r="E16" s="11" t="n">
        <f aca="false">Population!B16+(Population!L16-Population!B16)*(2003-2000)/(2010-2000)</f>
        <v>34761.1</v>
      </c>
      <c r="F16" s="11" t="n">
        <f aca="false">Population!B16+(Population!L16-Population!B16)*(2004-2000)/(2010-2000)</f>
        <v>34863.8</v>
      </c>
      <c r="G16" s="11" t="n">
        <f aca="false">Population!B16+(Population!L16-Population!B16)*(2005-2000)/(2010-2000)</f>
        <v>34966.5</v>
      </c>
      <c r="H16" s="11" t="n">
        <f aca="false">Population!B16+(Population!L16-Population!B16)*(2006-2000)/(2010-2000)</f>
        <v>35069.2</v>
      </c>
      <c r="I16" s="11" t="n">
        <f aca="false">Population!B16+(Population!L16-Population!B16)*(2007-2000)/(2010-2000)</f>
        <v>35171.9</v>
      </c>
      <c r="J16" s="11" t="n">
        <f aca="false">Population!B16+(Population!L16-Population!B16)*(2008-2000)/(2010-2000)</f>
        <v>35274.6</v>
      </c>
      <c r="K16" s="11" t="n">
        <f aca="false">Population!B16+(Population!L16-Population!B16)*(2009-2000)/(2010-2000)</f>
        <v>35377.3</v>
      </c>
      <c r="L16" s="10" t="n">
        <f aca="false">Population!L16</f>
        <v>35480</v>
      </c>
      <c r="M16" s="11" t="n">
        <f aca="false">Population!L16+(Population!V16-Population!L16)*(2011-2010)/(2020-2010)</f>
        <v>35230.3</v>
      </c>
      <c r="N16" s="11" t="n">
        <f aca="false">Population!L16+(Population!V16-Population!L16)*(2012-2010)/(2020-2010)</f>
        <v>34980.6</v>
      </c>
      <c r="O16" s="11" t="n">
        <f aca="false">Population!L16+(Population!V16-Population!L16)*(2013-2010)/(2020-2010)</f>
        <v>34730.9</v>
      </c>
      <c r="P16" s="11" t="n">
        <f aca="false">Population!L16+(Population!V16-Population!L16)*(2014-2010)/(2020-2010)</f>
        <v>34481.2</v>
      </c>
      <c r="Q16" s="11" t="n">
        <f aca="false">Population!L16+(Population!V16-Population!L16)*(2015-2010)/(2020-2010)</f>
        <v>34231.5</v>
      </c>
      <c r="R16" s="11" t="n">
        <f aca="false">Population!L16+(Population!V16-Population!L16)*(2016-2010)/(2020-2010)</f>
        <v>33981.8</v>
      </c>
      <c r="S16" s="11" t="n">
        <f aca="false">Population!L16+(Population!V16-Population!L16)*(2017-2010)/(2020-2010)</f>
        <v>33732.1</v>
      </c>
      <c r="T16" s="11" t="n">
        <f aca="false">Population!L16+(Population!V16-Population!L16)*(2018-2010)/(2020-2010)</f>
        <v>33482.4</v>
      </c>
      <c r="U16" s="11" t="n">
        <f aca="false">Population!L16+(Population!V16-Population!L16)*(2019-2010)/(2020-2010)</f>
        <v>33232.7</v>
      </c>
      <c r="V16" s="10" t="n">
        <f aca="false">Population!V16</f>
        <v>32983</v>
      </c>
      <c r="W16" s="11" t="n">
        <f aca="false">Population!V16+(Population!Z16-Population!V16)*(2021-2020)/(2024-2020)</f>
        <v>32700</v>
      </c>
      <c r="X16" s="11" t="n">
        <f aca="false">Population!V16+(Population!Z16-Population!V16)*(2022-2020)/(2024-2020)</f>
        <v>32417</v>
      </c>
      <c r="Y16" s="11" t="n">
        <f aca="false">Population!V16+(Population!Z16-Population!V16)*(2023-2020)/(2024-2020)</f>
        <v>32134</v>
      </c>
      <c r="Z16" s="10" t="n">
        <f aca="false">Population!Z16</f>
        <v>31851</v>
      </c>
      <c r="AA16" s="12"/>
    </row>
    <row r="17" customFormat="false" ht="15" hidden="false" customHeight="false" outlineLevel="0" collapsed="false">
      <c r="A17" s="9" t="str">
        <f aca="false">Population!A17</f>
        <v>Hampshire County</v>
      </c>
      <c r="B17" s="10" t="n">
        <f aca="false">Population!B17</f>
        <v>20203</v>
      </c>
      <c r="C17" s="11" t="n">
        <f aca="false">Population!B17+(Population!L17-Population!B17)*(2001-2000)/(2010-2000)</f>
        <v>20579.1</v>
      </c>
      <c r="D17" s="11" t="n">
        <f aca="false">Population!B17+(Population!L17-Population!B17)*(2002-2000)/(2010-2000)</f>
        <v>20955.2</v>
      </c>
      <c r="E17" s="11" t="n">
        <f aca="false">Population!B17+(Population!L17-Population!B17)*(2003-2000)/(2010-2000)</f>
        <v>21331.3</v>
      </c>
      <c r="F17" s="11" t="n">
        <f aca="false">Population!B17+(Population!L17-Population!B17)*(2004-2000)/(2010-2000)</f>
        <v>21707.4</v>
      </c>
      <c r="G17" s="11" t="n">
        <f aca="false">Population!B17+(Population!L17-Population!B17)*(2005-2000)/(2010-2000)</f>
        <v>22083.5</v>
      </c>
      <c r="H17" s="11" t="n">
        <f aca="false">Population!B17+(Population!L17-Population!B17)*(2006-2000)/(2010-2000)</f>
        <v>22459.6</v>
      </c>
      <c r="I17" s="11" t="n">
        <f aca="false">Population!B17+(Population!L17-Population!B17)*(2007-2000)/(2010-2000)</f>
        <v>22835.7</v>
      </c>
      <c r="J17" s="11" t="n">
        <f aca="false">Population!B17+(Population!L17-Population!B17)*(2008-2000)/(2010-2000)</f>
        <v>23211.8</v>
      </c>
      <c r="K17" s="11" t="n">
        <f aca="false">Population!B17+(Population!L17-Population!B17)*(2009-2000)/(2010-2000)</f>
        <v>23587.9</v>
      </c>
      <c r="L17" s="10" t="n">
        <f aca="false">Population!L17</f>
        <v>23964</v>
      </c>
      <c r="M17" s="11" t="n">
        <f aca="false">Population!L17+(Population!V17-Population!L17)*(2011-2010)/(2020-2010)</f>
        <v>23875.3</v>
      </c>
      <c r="N17" s="11" t="n">
        <f aca="false">Population!L17+(Population!V17-Population!L17)*(2012-2010)/(2020-2010)</f>
        <v>23786.6</v>
      </c>
      <c r="O17" s="11" t="n">
        <f aca="false">Population!L17+(Population!V17-Population!L17)*(2013-2010)/(2020-2010)</f>
        <v>23697.9</v>
      </c>
      <c r="P17" s="11" t="n">
        <f aca="false">Population!L17+(Population!V17-Population!L17)*(2014-2010)/(2020-2010)</f>
        <v>23609.2</v>
      </c>
      <c r="Q17" s="11" t="n">
        <f aca="false">Population!L17+(Population!V17-Population!L17)*(2015-2010)/(2020-2010)</f>
        <v>23520.5</v>
      </c>
      <c r="R17" s="11" t="n">
        <f aca="false">Population!L17+(Population!V17-Population!L17)*(2016-2010)/(2020-2010)</f>
        <v>23431.8</v>
      </c>
      <c r="S17" s="11" t="n">
        <f aca="false">Population!L17+(Population!V17-Population!L17)*(2017-2010)/(2020-2010)</f>
        <v>23343.1</v>
      </c>
      <c r="T17" s="11" t="n">
        <f aca="false">Population!L17+(Population!V17-Population!L17)*(2018-2010)/(2020-2010)</f>
        <v>23254.4</v>
      </c>
      <c r="U17" s="11" t="n">
        <f aca="false">Population!L17+(Population!V17-Population!L17)*(2019-2010)/(2020-2010)</f>
        <v>23165.7</v>
      </c>
      <c r="V17" s="10" t="n">
        <f aca="false">Population!V17</f>
        <v>23077</v>
      </c>
      <c r="W17" s="11" t="n">
        <f aca="false">Population!V17+(Population!Z17-Population!V17)*(2021-2020)/(2024-2020)</f>
        <v>23256</v>
      </c>
      <c r="X17" s="11" t="n">
        <f aca="false">Population!V17+(Population!Z17-Population!V17)*(2022-2020)/(2024-2020)</f>
        <v>23435</v>
      </c>
      <c r="Y17" s="11" t="n">
        <f aca="false">Population!V17+(Population!Z17-Population!V17)*(2023-2020)/(2024-2020)</f>
        <v>23614</v>
      </c>
      <c r="Z17" s="10" t="n">
        <f aca="false">Population!Z17</f>
        <v>23793</v>
      </c>
      <c r="AA17" s="12"/>
    </row>
    <row r="18" customFormat="false" ht="15" hidden="false" customHeight="false" outlineLevel="0" collapsed="false">
      <c r="A18" s="9" t="str">
        <f aca="false">Population!A18</f>
        <v>Hancock County</v>
      </c>
      <c r="B18" s="10" t="n">
        <f aca="false">Population!B18</f>
        <v>32667</v>
      </c>
      <c r="C18" s="11" t="n">
        <f aca="false">Population!B18+(Population!L18-Population!B18)*(2001-2000)/(2010-2000)</f>
        <v>32467.9</v>
      </c>
      <c r="D18" s="11" t="n">
        <f aca="false">Population!B18+(Population!L18-Population!B18)*(2002-2000)/(2010-2000)</f>
        <v>32268.8</v>
      </c>
      <c r="E18" s="11" t="n">
        <f aca="false">Population!B18+(Population!L18-Population!B18)*(2003-2000)/(2010-2000)</f>
        <v>32069.7</v>
      </c>
      <c r="F18" s="11" t="n">
        <f aca="false">Population!B18+(Population!L18-Population!B18)*(2004-2000)/(2010-2000)</f>
        <v>31870.6</v>
      </c>
      <c r="G18" s="11" t="n">
        <f aca="false">Population!B18+(Population!L18-Population!B18)*(2005-2000)/(2010-2000)</f>
        <v>31671.5</v>
      </c>
      <c r="H18" s="11" t="n">
        <f aca="false">Population!B18+(Population!L18-Population!B18)*(2006-2000)/(2010-2000)</f>
        <v>31472.4</v>
      </c>
      <c r="I18" s="11" t="n">
        <f aca="false">Population!B18+(Population!L18-Population!B18)*(2007-2000)/(2010-2000)</f>
        <v>31273.3</v>
      </c>
      <c r="J18" s="11" t="n">
        <f aca="false">Population!B18+(Population!L18-Population!B18)*(2008-2000)/(2010-2000)</f>
        <v>31074.2</v>
      </c>
      <c r="K18" s="11" t="n">
        <f aca="false">Population!B18+(Population!L18-Population!B18)*(2009-2000)/(2010-2000)</f>
        <v>30875.1</v>
      </c>
      <c r="L18" s="10" t="n">
        <f aca="false">Population!L18</f>
        <v>30676</v>
      </c>
      <c r="M18" s="11" t="n">
        <f aca="false">Population!L18+(Population!V18-Population!L18)*(2011-2010)/(2020-2010)</f>
        <v>30518.2</v>
      </c>
      <c r="N18" s="11" t="n">
        <f aca="false">Population!L18+(Population!V18-Population!L18)*(2012-2010)/(2020-2010)</f>
        <v>30360.4</v>
      </c>
      <c r="O18" s="11" t="n">
        <f aca="false">Population!L18+(Population!V18-Population!L18)*(2013-2010)/(2020-2010)</f>
        <v>30202.6</v>
      </c>
      <c r="P18" s="11" t="n">
        <f aca="false">Population!L18+(Population!V18-Population!L18)*(2014-2010)/(2020-2010)</f>
        <v>30044.8</v>
      </c>
      <c r="Q18" s="11" t="n">
        <f aca="false">Population!L18+(Population!V18-Population!L18)*(2015-2010)/(2020-2010)</f>
        <v>29887</v>
      </c>
      <c r="R18" s="11" t="n">
        <f aca="false">Population!L18+(Population!V18-Population!L18)*(2016-2010)/(2020-2010)</f>
        <v>29729.2</v>
      </c>
      <c r="S18" s="11" t="n">
        <f aca="false">Population!L18+(Population!V18-Population!L18)*(2017-2010)/(2020-2010)</f>
        <v>29571.4</v>
      </c>
      <c r="T18" s="11" t="n">
        <f aca="false">Population!L18+(Population!V18-Population!L18)*(2018-2010)/(2020-2010)</f>
        <v>29413.6</v>
      </c>
      <c r="U18" s="11" t="n">
        <f aca="false">Population!L18+(Population!V18-Population!L18)*(2019-2010)/(2020-2010)</f>
        <v>29255.8</v>
      </c>
      <c r="V18" s="10" t="n">
        <f aca="false">Population!V18</f>
        <v>29098</v>
      </c>
      <c r="W18" s="11" t="n">
        <f aca="false">Population!V18+(Population!Z18-Population!V18)*(2021-2020)/(2024-2020)</f>
        <v>28837</v>
      </c>
      <c r="X18" s="11" t="n">
        <f aca="false">Population!V18+(Population!Z18-Population!V18)*(2022-2020)/(2024-2020)</f>
        <v>28576</v>
      </c>
      <c r="Y18" s="11" t="n">
        <f aca="false">Population!V18+(Population!Z18-Population!V18)*(2023-2020)/(2024-2020)</f>
        <v>28315</v>
      </c>
      <c r="Z18" s="10" t="n">
        <f aca="false">Population!Z18</f>
        <v>28054</v>
      </c>
      <c r="AA18" s="12"/>
    </row>
    <row r="19" customFormat="false" ht="15" hidden="false" customHeight="false" outlineLevel="0" collapsed="false">
      <c r="A19" s="9" t="str">
        <f aca="false">Population!A19</f>
        <v>Hardy County</v>
      </c>
      <c r="B19" s="10" t="n">
        <f aca="false">Population!B19</f>
        <v>12669</v>
      </c>
      <c r="C19" s="11" t="n">
        <f aca="false">Population!B19+(Population!L19-Population!B19)*(2001-2000)/(2010-2000)</f>
        <v>12804.6</v>
      </c>
      <c r="D19" s="11" t="n">
        <f aca="false">Population!B19+(Population!L19-Population!B19)*(2002-2000)/(2010-2000)</f>
        <v>12940.2</v>
      </c>
      <c r="E19" s="11" t="n">
        <f aca="false">Population!B19+(Population!L19-Population!B19)*(2003-2000)/(2010-2000)</f>
        <v>13075.8</v>
      </c>
      <c r="F19" s="11" t="n">
        <f aca="false">Population!B19+(Population!L19-Population!B19)*(2004-2000)/(2010-2000)</f>
        <v>13211.4</v>
      </c>
      <c r="G19" s="11" t="n">
        <f aca="false">Population!B19+(Population!L19-Population!B19)*(2005-2000)/(2010-2000)</f>
        <v>13347</v>
      </c>
      <c r="H19" s="11" t="n">
        <f aca="false">Population!B19+(Population!L19-Population!B19)*(2006-2000)/(2010-2000)</f>
        <v>13482.6</v>
      </c>
      <c r="I19" s="11" t="n">
        <f aca="false">Population!B19+(Population!L19-Population!B19)*(2007-2000)/(2010-2000)</f>
        <v>13618.2</v>
      </c>
      <c r="J19" s="11" t="n">
        <f aca="false">Population!B19+(Population!L19-Population!B19)*(2008-2000)/(2010-2000)</f>
        <v>13753.8</v>
      </c>
      <c r="K19" s="11" t="n">
        <f aca="false">Population!B19+(Population!L19-Population!B19)*(2009-2000)/(2010-2000)</f>
        <v>13889.4</v>
      </c>
      <c r="L19" s="10" t="n">
        <f aca="false">Population!L19</f>
        <v>14025</v>
      </c>
      <c r="M19" s="11" t="n">
        <f aca="false">Population!L19+(Population!V19-Population!L19)*(2011-2010)/(2020-2010)</f>
        <v>14052.2</v>
      </c>
      <c r="N19" s="11" t="n">
        <f aca="false">Population!L19+(Population!V19-Population!L19)*(2012-2010)/(2020-2010)</f>
        <v>14079.4</v>
      </c>
      <c r="O19" s="11" t="n">
        <f aca="false">Population!L19+(Population!V19-Population!L19)*(2013-2010)/(2020-2010)</f>
        <v>14106.6</v>
      </c>
      <c r="P19" s="11" t="n">
        <f aca="false">Population!L19+(Population!V19-Population!L19)*(2014-2010)/(2020-2010)</f>
        <v>14133.8</v>
      </c>
      <c r="Q19" s="11" t="n">
        <f aca="false">Population!L19+(Population!V19-Population!L19)*(2015-2010)/(2020-2010)</f>
        <v>14161</v>
      </c>
      <c r="R19" s="11" t="n">
        <f aca="false">Population!L19+(Population!V19-Population!L19)*(2016-2010)/(2020-2010)</f>
        <v>14188.2</v>
      </c>
      <c r="S19" s="11" t="n">
        <f aca="false">Population!L19+(Population!V19-Population!L19)*(2017-2010)/(2020-2010)</f>
        <v>14215.4</v>
      </c>
      <c r="T19" s="11" t="n">
        <f aca="false">Population!L19+(Population!V19-Population!L19)*(2018-2010)/(2020-2010)</f>
        <v>14242.6</v>
      </c>
      <c r="U19" s="11" t="n">
        <f aca="false">Population!L19+(Population!V19-Population!L19)*(2019-2010)/(2020-2010)</f>
        <v>14269.8</v>
      </c>
      <c r="V19" s="10" t="n">
        <f aca="false">Population!V19</f>
        <v>14297</v>
      </c>
      <c r="W19" s="11" t="n">
        <f aca="false">Population!V19+(Population!Z19-Population!V19)*(2021-2020)/(2024-2020)</f>
        <v>14306.5</v>
      </c>
      <c r="X19" s="11" t="n">
        <f aca="false">Population!V19+(Population!Z19-Population!V19)*(2022-2020)/(2024-2020)</f>
        <v>14316</v>
      </c>
      <c r="Y19" s="11" t="n">
        <f aca="false">Population!V19+(Population!Z19-Population!V19)*(2023-2020)/(2024-2020)</f>
        <v>14325.5</v>
      </c>
      <c r="Z19" s="10" t="n">
        <f aca="false">Population!Z19</f>
        <v>14335</v>
      </c>
      <c r="AA19" s="12"/>
    </row>
    <row r="20" customFormat="false" ht="15" hidden="false" customHeight="false" outlineLevel="0" collapsed="false">
      <c r="A20" s="9" t="str">
        <f aca="false">Population!A20</f>
        <v>Harrison County</v>
      </c>
      <c r="B20" s="10" t="n">
        <f aca="false">Population!B20</f>
        <v>68652</v>
      </c>
      <c r="C20" s="11" t="n">
        <f aca="false">Population!B20+(Population!L20-Population!B20)*(2001-2000)/(2010-2000)</f>
        <v>68696.7</v>
      </c>
      <c r="D20" s="11" t="n">
        <f aca="false">Population!B20+(Population!L20-Population!B20)*(2002-2000)/(2010-2000)</f>
        <v>68741.4</v>
      </c>
      <c r="E20" s="11" t="n">
        <f aca="false">Population!B20+(Population!L20-Population!B20)*(2003-2000)/(2010-2000)</f>
        <v>68786.1</v>
      </c>
      <c r="F20" s="11" t="n">
        <f aca="false">Population!B20+(Population!L20-Population!B20)*(2004-2000)/(2010-2000)</f>
        <v>68830.8</v>
      </c>
      <c r="G20" s="11" t="n">
        <f aca="false">Population!B20+(Population!L20-Population!B20)*(2005-2000)/(2010-2000)</f>
        <v>68875.5</v>
      </c>
      <c r="H20" s="11" t="n">
        <f aca="false">Population!B20+(Population!L20-Population!B20)*(2006-2000)/(2010-2000)</f>
        <v>68920.2</v>
      </c>
      <c r="I20" s="11" t="n">
        <f aca="false">Population!B20+(Population!L20-Population!B20)*(2007-2000)/(2010-2000)</f>
        <v>68964.9</v>
      </c>
      <c r="J20" s="11" t="n">
        <f aca="false">Population!B20+(Population!L20-Population!B20)*(2008-2000)/(2010-2000)</f>
        <v>69009.6</v>
      </c>
      <c r="K20" s="11" t="n">
        <f aca="false">Population!B20+(Population!L20-Population!B20)*(2009-2000)/(2010-2000)</f>
        <v>69054.3</v>
      </c>
      <c r="L20" s="10" t="n">
        <f aca="false">Population!L20</f>
        <v>69099</v>
      </c>
      <c r="M20" s="11" t="n">
        <f aca="false">Population!L20+(Population!V20-Population!L20)*(2011-2010)/(2020-2010)</f>
        <v>68780.6</v>
      </c>
      <c r="N20" s="11" t="n">
        <f aca="false">Population!L20+(Population!V20-Population!L20)*(2012-2010)/(2020-2010)</f>
        <v>68462.2</v>
      </c>
      <c r="O20" s="11" t="n">
        <f aca="false">Population!L20+(Population!V20-Population!L20)*(2013-2010)/(2020-2010)</f>
        <v>68143.8</v>
      </c>
      <c r="P20" s="11" t="n">
        <f aca="false">Population!L20+(Population!V20-Population!L20)*(2014-2010)/(2020-2010)</f>
        <v>67825.4</v>
      </c>
      <c r="Q20" s="11" t="n">
        <f aca="false">Population!L20+(Population!V20-Population!L20)*(2015-2010)/(2020-2010)</f>
        <v>67507</v>
      </c>
      <c r="R20" s="11" t="n">
        <f aca="false">Population!L20+(Population!V20-Population!L20)*(2016-2010)/(2020-2010)</f>
        <v>67188.6</v>
      </c>
      <c r="S20" s="11" t="n">
        <f aca="false">Population!L20+(Population!V20-Population!L20)*(2017-2010)/(2020-2010)</f>
        <v>66870.2</v>
      </c>
      <c r="T20" s="11" t="n">
        <f aca="false">Population!L20+(Population!V20-Population!L20)*(2018-2010)/(2020-2010)</f>
        <v>66551.8</v>
      </c>
      <c r="U20" s="11" t="n">
        <f aca="false">Population!L20+(Population!V20-Population!L20)*(2019-2010)/(2020-2010)</f>
        <v>66233.4</v>
      </c>
      <c r="V20" s="10" t="n">
        <f aca="false">Population!V20</f>
        <v>65915</v>
      </c>
      <c r="W20" s="11" t="n">
        <f aca="false">Population!V20+(Population!Z20-Population!V20)*(2021-2020)/(2024-2020)</f>
        <v>65554.25</v>
      </c>
      <c r="X20" s="11" t="n">
        <f aca="false">Population!V20+(Population!Z20-Population!V20)*(2022-2020)/(2024-2020)</f>
        <v>65193.5</v>
      </c>
      <c r="Y20" s="11" t="n">
        <f aca="false">Population!V20+(Population!Z20-Population!V20)*(2023-2020)/(2024-2020)</f>
        <v>64832.75</v>
      </c>
      <c r="Z20" s="10" t="n">
        <f aca="false">Population!Z20</f>
        <v>64472</v>
      </c>
      <c r="AA20" s="12"/>
    </row>
    <row r="21" customFormat="false" ht="15" hidden="false" customHeight="false" outlineLevel="0" collapsed="false">
      <c r="A21" s="9" t="str">
        <f aca="false">Population!A21</f>
        <v>Jackson County</v>
      </c>
      <c r="B21" s="10" t="n">
        <f aca="false">Population!B21</f>
        <v>28000</v>
      </c>
      <c r="C21" s="11" t="n">
        <f aca="false">Population!B21+(Population!L21-Population!B21)*(2001-2000)/(2010-2000)</f>
        <v>28121.1</v>
      </c>
      <c r="D21" s="11" t="n">
        <f aca="false">Population!B21+(Population!L21-Population!B21)*(2002-2000)/(2010-2000)</f>
        <v>28242.2</v>
      </c>
      <c r="E21" s="11" t="n">
        <f aca="false">Population!B21+(Population!L21-Population!B21)*(2003-2000)/(2010-2000)</f>
        <v>28363.3</v>
      </c>
      <c r="F21" s="11" t="n">
        <f aca="false">Population!B21+(Population!L21-Population!B21)*(2004-2000)/(2010-2000)</f>
        <v>28484.4</v>
      </c>
      <c r="G21" s="11" t="n">
        <f aca="false">Population!B21+(Population!L21-Population!B21)*(2005-2000)/(2010-2000)</f>
        <v>28605.5</v>
      </c>
      <c r="H21" s="11" t="n">
        <f aca="false">Population!B21+(Population!L21-Population!B21)*(2006-2000)/(2010-2000)</f>
        <v>28726.6</v>
      </c>
      <c r="I21" s="11" t="n">
        <f aca="false">Population!B21+(Population!L21-Population!B21)*(2007-2000)/(2010-2000)</f>
        <v>28847.7</v>
      </c>
      <c r="J21" s="11" t="n">
        <f aca="false">Population!B21+(Population!L21-Population!B21)*(2008-2000)/(2010-2000)</f>
        <v>28968.8</v>
      </c>
      <c r="K21" s="11" t="n">
        <f aca="false">Population!B21+(Population!L21-Population!B21)*(2009-2000)/(2010-2000)</f>
        <v>29089.9</v>
      </c>
      <c r="L21" s="10" t="n">
        <f aca="false">Population!L21</f>
        <v>29211</v>
      </c>
      <c r="M21" s="11" t="n">
        <f aca="false">Population!L21+(Population!V21-Population!L21)*(2011-2010)/(2020-2010)</f>
        <v>29069.2</v>
      </c>
      <c r="N21" s="11" t="n">
        <f aca="false">Population!L21+(Population!V21-Population!L21)*(2012-2010)/(2020-2010)</f>
        <v>28927.4</v>
      </c>
      <c r="O21" s="11" t="n">
        <f aca="false">Population!L21+(Population!V21-Population!L21)*(2013-2010)/(2020-2010)</f>
        <v>28785.6</v>
      </c>
      <c r="P21" s="11" t="n">
        <f aca="false">Population!L21+(Population!V21-Population!L21)*(2014-2010)/(2020-2010)</f>
        <v>28643.8</v>
      </c>
      <c r="Q21" s="11" t="n">
        <f aca="false">Population!L21+(Population!V21-Population!L21)*(2015-2010)/(2020-2010)</f>
        <v>28502</v>
      </c>
      <c r="R21" s="11" t="n">
        <f aca="false">Population!L21+(Population!V21-Population!L21)*(2016-2010)/(2020-2010)</f>
        <v>28360.2</v>
      </c>
      <c r="S21" s="11" t="n">
        <f aca="false">Population!L21+(Population!V21-Population!L21)*(2017-2010)/(2020-2010)</f>
        <v>28218.4</v>
      </c>
      <c r="T21" s="11" t="n">
        <f aca="false">Population!L21+(Population!V21-Population!L21)*(2018-2010)/(2020-2010)</f>
        <v>28076.6</v>
      </c>
      <c r="U21" s="11" t="n">
        <f aca="false">Population!L21+(Population!V21-Population!L21)*(2019-2010)/(2020-2010)</f>
        <v>27934.8</v>
      </c>
      <c r="V21" s="10" t="n">
        <f aca="false">Population!V21</f>
        <v>27793</v>
      </c>
      <c r="W21" s="11" t="n">
        <f aca="false">Population!V21+(Population!Z21-Population!V21)*(2021-2020)/(2024-2020)</f>
        <v>27774.25</v>
      </c>
      <c r="X21" s="11" t="n">
        <f aca="false">Population!V21+(Population!Z21-Population!V21)*(2022-2020)/(2024-2020)</f>
        <v>27755.5</v>
      </c>
      <c r="Y21" s="11" t="n">
        <f aca="false">Population!V21+(Population!Z21-Population!V21)*(2023-2020)/(2024-2020)</f>
        <v>27736.75</v>
      </c>
      <c r="Z21" s="10" t="n">
        <f aca="false">Population!Z21</f>
        <v>27718</v>
      </c>
      <c r="AA21" s="12"/>
    </row>
    <row r="22" customFormat="false" ht="15" hidden="false" customHeight="false" outlineLevel="0" collapsed="false">
      <c r="A22" s="9" t="str">
        <f aca="false">Population!A22</f>
        <v>Jefferson County</v>
      </c>
      <c r="B22" s="10" t="n">
        <f aca="false">Population!B22</f>
        <v>42190</v>
      </c>
      <c r="C22" s="11" t="n">
        <f aca="false">Population!B22+(Population!L22-Population!B22)*(2001-2000)/(2010-2000)</f>
        <v>43320.8</v>
      </c>
      <c r="D22" s="11" t="n">
        <f aca="false">Population!B22+(Population!L22-Population!B22)*(2002-2000)/(2010-2000)</f>
        <v>44451.6</v>
      </c>
      <c r="E22" s="11" t="n">
        <f aca="false">Population!B22+(Population!L22-Population!B22)*(2003-2000)/(2010-2000)</f>
        <v>45582.4</v>
      </c>
      <c r="F22" s="11" t="n">
        <f aca="false">Population!B22+(Population!L22-Population!B22)*(2004-2000)/(2010-2000)</f>
        <v>46713.2</v>
      </c>
      <c r="G22" s="11" t="n">
        <f aca="false">Population!B22+(Population!L22-Population!B22)*(2005-2000)/(2010-2000)</f>
        <v>47844</v>
      </c>
      <c r="H22" s="11" t="n">
        <f aca="false">Population!B22+(Population!L22-Population!B22)*(2006-2000)/(2010-2000)</f>
        <v>48974.8</v>
      </c>
      <c r="I22" s="11" t="n">
        <f aca="false">Population!B22+(Population!L22-Population!B22)*(2007-2000)/(2010-2000)</f>
        <v>50105.6</v>
      </c>
      <c r="J22" s="11" t="n">
        <f aca="false">Population!B22+(Population!L22-Population!B22)*(2008-2000)/(2010-2000)</f>
        <v>51236.4</v>
      </c>
      <c r="K22" s="11" t="n">
        <f aca="false">Population!B22+(Population!L22-Population!B22)*(2009-2000)/(2010-2000)</f>
        <v>52367.2</v>
      </c>
      <c r="L22" s="10" t="n">
        <f aca="false">Population!L22</f>
        <v>53498</v>
      </c>
      <c r="M22" s="11" t="n">
        <f aca="false">Population!L22+(Population!V22-Population!L22)*(2011-2010)/(2020-2010)</f>
        <v>53918.5</v>
      </c>
      <c r="N22" s="11" t="n">
        <f aca="false">Population!L22+(Population!V22-Population!L22)*(2012-2010)/(2020-2010)</f>
        <v>54339</v>
      </c>
      <c r="O22" s="11" t="n">
        <f aca="false">Population!L22+(Population!V22-Population!L22)*(2013-2010)/(2020-2010)</f>
        <v>54759.5</v>
      </c>
      <c r="P22" s="11" t="n">
        <f aca="false">Population!L22+(Population!V22-Population!L22)*(2014-2010)/(2020-2010)</f>
        <v>55180</v>
      </c>
      <c r="Q22" s="11" t="n">
        <f aca="false">Population!L22+(Population!V22-Population!L22)*(2015-2010)/(2020-2010)</f>
        <v>55600.5</v>
      </c>
      <c r="R22" s="11" t="n">
        <f aca="false">Population!L22+(Population!V22-Population!L22)*(2016-2010)/(2020-2010)</f>
        <v>56021</v>
      </c>
      <c r="S22" s="11" t="n">
        <f aca="false">Population!L22+(Population!V22-Population!L22)*(2017-2010)/(2020-2010)</f>
        <v>56441.5</v>
      </c>
      <c r="T22" s="11" t="n">
        <f aca="false">Population!L22+(Population!V22-Population!L22)*(2018-2010)/(2020-2010)</f>
        <v>56862</v>
      </c>
      <c r="U22" s="11" t="n">
        <f aca="false">Population!L22+(Population!V22-Population!L22)*(2019-2010)/(2020-2010)</f>
        <v>57282.5</v>
      </c>
      <c r="V22" s="10" t="n">
        <f aca="false">Population!V22</f>
        <v>57703</v>
      </c>
      <c r="W22" s="11" t="n">
        <f aca="false">Population!V22+(Population!Z22-Population!V22)*(2021-2020)/(2024-2020)</f>
        <v>58593.25</v>
      </c>
      <c r="X22" s="11" t="n">
        <f aca="false">Population!V22+(Population!Z22-Population!V22)*(2022-2020)/(2024-2020)</f>
        <v>59483.5</v>
      </c>
      <c r="Y22" s="11" t="n">
        <f aca="false">Population!V22+(Population!Z22-Population!V22)*(2023-2020)/(2024-2020)</f>
        <v>60373.75</v>
      </c>
      <c r="Z22" s="10" t="n">
        <f aca="false">Population!Z22</f>
        <v>61264</v>
      </c>
      <c r="AA22" s="12"/>
    </row>
    <row r="23" customFormat="false" ht="15" hidden="false" customHeight="false" outlineLevel="0" collapsed="false">
      <c r="A23" s="9" t="str">
        <f aca="false">Population!A23</f>
        <v>Kanawha County</v>
      </c>
      <c r="B23" s="10" t="n">
        <f aca="false">Population!B23</f>
        <v>200073</v>
      </c>
      <c r="C23" s="11" t="n">
        <f aca="false">Population!B23+(Population!L23-Population!B23)*(2001-2000)/(2010-2000)</f>
        <v>199372</v>
      </c>
      <c r="D23" s="11" t="n">
        <f aca="false">Population!B23+(Population!L23-Population!B23)*(2002-2000)/(2010-2000)</f>
        <v>198671</v>
      </c>
      <c r="E23" s="11" t="n">
        <f aca="false">Population!B23+(Population!L23-Population!B23)*(2003-2000)/(2010-2000)</f>
        <v>197970</v>
      </c>
      <c r="F23" s="11" t="n">
        <f aca="false">Population!B23+(Population!L23-Population!B23)*(2004-2000)/(2010-2000)</f>
        <v>197269</v>
      </c>
      <c r="G23" s="11" t="n">
        <f aca="false">Population!B23+(Population!L23-Population!B23)*(2005-2000)/(2010-2000)</f>
        <v>196568</v>
      </c>
      <c r="H23" s="11" t="n">
        <f aca="false">Population!B23+(Population!L23-Population!B23)*(2006-2000)/(2010-2000)</f>
        <v>195867</v>
      </c>
      <c r="I23" s="11" t="n">
        <f aca="false">Population!B23+(Population!L23-Population!B23)*(2007-2000)/(2010-2000)</f>
        <v>195166</v>
      </c>
      <c r="J23" s="11" t="n">
        <f aca="false">Population!B23+(Population!L23-Population!B23)*(2008-2000)/(2010-2000)</f>
        <v>194465</v>
      </c>
      <c r="K23" s="11" t="n">
        <f aca="false">Population!B23+(Population!L23-Population!B23)*(2009-2000)/(2010-2000)</f>
        <v>193764</v>
      </c>
      <c r="L23" s="10" t="n">
        <f aca="false">Population!L23</f>
        <v>193063</v>
      </c>
      <c r="M23" s="11" t="n">
        <f aca="false">Population!L23+(Population!V23-Population!L23)*(2011-2010)/(2020-2010)</f>
        <v>191828.8</v>
      </c>
      <c r="N23" s="11" t="n">
        <f aca="false">Population!L23+(Population!V23-Population!L23)*(2012-2010)/(2020-2010)</f>
        <v>190594.6</v>
      </c>
      <c r="O23" s="11" t="n">
        <f aca="false">Population!L23+(Population!V23-Population!L23)*(2013-2010)/(2020-2010)</f>
        <v>189360.4</v>
      </c>
      <c r="P23" s="11" t="n">
        <f aca="false">Population!L23+(Population!V23-Population!L23)*(2014-2010)/(2020-2010)</f>
        <v>188126.2</v>
      </c>
      <c r="Q23" s="11" t="n">
        <f aca="false">Population!L23+(Population!V23-Population!L23)*(2015-2010)/(2020-2010)</f>
        <v>186892</v>
      </c>
      <c r="R23" s="11" t="n">
        <f aca="false">Population!L23+(Population!V23-Population!L23)*(2016-2010)/(2020-2010)</f>
        <v>185657.8</v>
      </c>
      <c r="S23" s="11" t="n">
        <f aca="false">Population!L23+(Population!V23-Population!L23)*(2017-2010)/(2020-2010)</f>
        <v>184423.6</v>
      </c>
      <c r="T23" s="11" t="n">
        <f aca="false">Population!L23+(Population!V23-Population!L23)*(2018-2010)/(2020-2010)</f>
        <v>183189.4</v>
      </c>
      <c r="U23" s="11" t="n">
        <f aca="false">Population!L23+(Population!V23-Population!L23)*(2019-2010)/(2020-2010)</f>
        <v>181955.2</v>
      </c>
      <c r="V23" s="10" t="n">
        <f aca="false">Population!V23</f>
        <v>180721</v>
      </c>
      <c r="W23" s="11" t="n">
        <f aca="false">Population!V23+(Population!Z23-Population!V23)*(2021-2020)/(2024-2020)</f>
        <v>179017.25</v>
      </c>
      <c r="X23" s="11" t="n">
        <f aca="false">Population!V23+(Population!Z23-Population!V23)*(2022-2020)/(2024-2020)</f>
        <v>177313.5</v>
      </c>
      <c r="Y23" s="11" t="n">
        <f aca="false">Population!V23+(Population!Z23-Population!V23)*(2023-2020)/(2024-2020)</f>
        <v>175609.75</v>
      </c>
      <c r="Z23" s="10" t="n">
        <f aca="false">Population!Z23</f>
        <v>173906</v>
      </c>
      <c r="AA23" s="12"/>
    </row>
    <row r="24" customFormat="false" ht="15" hidden="false" customHeight="false" outlineLevel="0" collapsed="false">
      <c r="A24" s="9" t="str">
        <f aca="false">Population!A24</f>
        <v>Lewis County</v>
      </c>
      <c r="B24" s="10" t="n">
        <f aca="false">Population!B24</f>
        <v>16919</v>
      </c>
      <c r="C24" s="11" t="n">
        <f aca="false">Population!B24+(Population!L24-Population!B24)*(2001-2000)/(2010-2000)</f>
        <v>16864.3</v>
      </c>
      <c r="D24" s="11" t="n">
        <f aca="false">Population!B24+(Population!L24-Population!B24)*(2002-2000)/(2010-2000)</f>
        <v>16809.6</v>
      </c>
      <c r="E24" s="11" t="n">
        <f aca="false">Population!B24+(Population!L24-Population!B24)*(2003-2000)/(2010-2000)</f>
        <v>16754.9</v>
      </c>
      <c r="F24" s="11" t="n">
        <f aca="false">Population!B24+(Population!L24-Population!B24)*(2004-2000)/(2010-2000)</f>
        <v>16700.2</v>
      </c>
      <c r="G24" s="11" t="n">
        <f aca="false">Population!B24+(Population!L24-Population!B24)*(2005-2000)/(2010-2000)</f>
        <v>16645.5</v>
      </c>
      <c r="H24" s="11" t="n">
        <f aca="false">Population!B24+(Population!L24-Population!B24)*(2006-2000)/(2010-2000)</f>
        <v>16590.8</v>
      </c>
      <c r="I24" s="11" t="n">
        <f aca="false">Population!B24+(Population!L24-Population!B24)*(2007-2000)/(2010-2000)</f>
        <v>16536.1</v>
      </c>
      <c r="J24" s="11" t="n">
        <f aca="false">Population!B24+(Population!L24-Population!B24)*(2008-2000)/(2010-2000)</f>
        <v>16481.4</v>
      </c>
      <c r="K24" s="11" t="n">
        <f aca="false">Population!B24+(Population!L24-Population!B24)*(2009-2000)/(2010-2000)</f>
        <v>16426.7</v>
      </c>
      <c r="L24" s="10" t="n">
        <f aca="false">Population!L24</f>
        <v>16372</v>
      </c>
      <c r="M24" s="11" t="n">
        <f aca="false">Population!L24+(Population!V24-Population!L24)*(2011-2010)/(2020-2010)</f>
        <v>16437.8</v>
      </c>
      <c r="N24" s="11" t="n">
        <f aca="false">Population!L24+(Population!V24-Population!L24)*(2012-2010)/(2020-2010)</f>
        <v>16503.6</v>
      </c>
      <c r="O24" s="11" t="n">
        <f aca="false">Population!L24+(Population!V24-Population!L24)*(2013-2010)/(2020-2010)</f>
        <v>16569.4</v>
      </c>
      <c r="P24" s="11" t="n">
        <f aca="false">Population!L24+(Population!V24-Population!L24)*(2014-2010)/(2020-2010)</f>
        <v>16635.2</v>
      </c>
      <c r="Q24" s="11" t="n">
        <f aca="false">Population!L24+(Population!V24-Population!L24)*(2015-2010)/(2020-2010)</f>
        <v>16701</v>
      </c>
      <c r="R24" s="11" t="n">
        <f aca="false">Population!L24+(Population!V24-Population!L24)*(2016-2010)/(2020-2010)</f>
        <v>16766.8</v>
      </c>
      <c r="S24" s="11" t="n">
        <f aca="false">Population!L24+(Population!V24-Population!L24)*(2017-2010)/(2020-2010)</f>
        <v>16832.6</v>
      </c>
      <c r="T24" s="11" t="n">
        <f aca="false">Population!L24+(Population!V24-Population!L24)*(2018-2010)/(2020-2010)</f>
        <v>16898.4</v>
      </c>
      <c r="U24" s="11" t="n">
        <f aca="false">Population!L24+(Population!V24-Population!L24)*(2019-2010)/(2020-2010)</f>
        <v>16964.2</v>
      </c>
      <c r="V24" s="10" t="n">
        <f aca="false">Population!V24</f>
        <v>17030</v>
      </c>
      <c r="W24" s="11" t="n">
        <f aca="false">Population!V24+(Population!Z24-Population!V24)*(2021-2020)/(2024-2020)</f>
        <v>16891.75</v>
      </c>
      <c r="X24" s="11" t="n">
        <f aca="false">Population!V24+(Population!Z24-Population!V24)*(2022-2020)/(2024-2020)</f>
        <v>16753.5</v>
      </c>
      <c r="Y24" s="11" t="n">
        <f aca="false">Population!V24+(Population!Z24-Population!V24)*(2023-2020)/(2024-2020)</f>
        <v>16615.25</v>
      </c>
      <c r="Z24" s="10" t="n">
        <f aca="false">Population!Z24</f>
        <v>16477</v>
      </c>
      <c r="AA24" s="12"/>
    </row>
    <row r="25" customFormat="false" ht="15" hidden="false" customHeight="false" outlineLevel="0" collapsed="false">
      <c r="A25" s="9" t="str">
        <f aca="false">Population!A25</f>
        <v>Lincoln County</v>
      </c>
      <c r="B25" s="10" t="n">
        <f aca="false">Population!B25</f>
        <v>22108</v>
      </c>
      <c r="C25" s="11" t="n">
        <f aca="false">Population!B25+(Population!L25-Population!B25)*(2001-2000)/(2010-2000)</f>
        <v>22069.2</v>
      </c>
      <c r="D25" s="11" t="n">
        <f aca="false">Population!B25+(Population!L25-Population!B25)*(2002-2000)/(2010-2000)</f>
        <v>22030.4</v>
      </c>
      <c r="E25" s="11" t="n">
        <f aca="false">Population!B25+(Population!L25-Population!B25)*(2003-2000)/(2010-2000)</f>
        <v>21991.6</v>
      </c>
      <c r="F25" s="11" t="n">
        <f aca="false">Population!B25+(Population!L25-Population!B25)*(2004-2000)/(2010-2000)</f>
        <v>21952.8</v>
      </c>
      <c r="G25" s="11" t="n">
        <f aca="false">Population!B25+(Population!L25-Population!B25)*(2005-2000)/(2010-2000)</f>
        <v>21914</v>
      </c>
      <c r="H25" s="11" t="n">
        <f aca="false">Population!B25+(Population!L25-Population!B25)*(2006-2000)/(2010-2000)</f>
        <v>21875.2</v>
      </c>
      <c r="I25" s="11" t="n">
        <f aca="false">Population!B25+(Population!L25-Population!B25)*(2007-2000)/(2010-2000)</f>
        <v>21836.4</v>
      </c>
      <c r="J25" s="11" t="n">
        <f aca="false">Population!B25+(Population!L25-Population!B25)*(2008-2000)/(2010-2000)</f>
        <v>21797.6</v>
      </c>
      <c r="K25" s="11" t="n">
        <f aca="false">Population!B25+(Population!L25-Population!B25)*(2009-2000)/(2010-2000)</f>
        <v>21758.8</v>
      </c>
      <c r="L25" s="10" t="n">
        <f aca="false">Population!L25</f>
        <v>21720</v>
      </c>
      <c r="M25" s="11" t="n">
        <f aca="false">Population!L25+(Population!V25-Population!L25)*(2011-2010)/(2020-2010)</f>
        <v>21594</v>
      </c>
      <c r="N25" s="11" t="n">
        <f aca="false">Population!L25+(Population!V25-Population!L25)*(2012-2010)/(2020-2010)</f>
        <v>21468</v>
      </c>
      <c r="O25" s="11" t="n">
        <f aca="false">Population!L25+(Population!V25-Population!L25)*(2013-2010)/(2020-2010)</f>
        <v>21342</v>
      </c>
      <c r="P25" s="11" t="n">
        <f aca="false">Population!L25+(Population!V25-Population!L25)*(2014-2010)/(2020-2010)</f>
        <v>21216</v>
      </c>
      <c r="Q25" s="11" t="n">
        <f aca="false">Population!L25+(Population!V25-Population!L25)*(2015-2010)/(2020-2010)</f>
        <v>21090</v>
      </c>
      <c r="R25" s="11" t="n">
        <f aca="false">Population!L25+(Population!V25-Population!L25)*(2016-2010)/(2020-2010)</f>
        <v>20964</v>
      </c>
      <c r="S25" s="11" t="n">
        <f aca="false">Population!L25+(Population!V25-Population!L25)*(2017-2010)/(2020-2010)</f>
        <v>20838</v>
      </c>
      <c r="T25" s="11" t="n">
        <f aca="false">Population!L25+(Population!V25-Population!L25)*(2018-2010)/(2020-2010)</f>
        <v>20712</v>
      </c>
      <c r="U25" s="11" t="n">
        <f aca="false">Population!L25+(Population!V25-Population!L25)*(2019-2010)/(2020-2010)</f>
        <v>20586</v>
      </c>
      <c r="V25" s="10" t="n">
        <f aca="false">Population!V25</f>
        <v>20460</v>
      </c>
      <c r="W25" s="11" t="n">
        <f aca="false">Population!V25+(Population!Z25-Population!V25)*(2021-2020)/(2024-2020)</f>
        <v>20189.25</v>
      </c>
      <c r="X25" s="11" t="n">
        <f aca="false">Population!V25+(Population!Z25-Population!V25)*(2022-2020)/(2024-2020)</f>
        <v>19918.5</v>
      </c>
      <c r="Y25" s="11" t="n">
        <f aca="false">Population!V25+(Population!Z25-Population!V25)*(2023-2020)/(2024-2020)</f>
        <v>19647.75</v>
      </c>
      <c r="Z25" s="10" t="n">
        <f aca="false">Population!Z25</f>
        <v>19377</v>
      </c>
      <c r="AA25" s="12"/>
    </row>
    <row r="26" customFormat="false" ht="15" hidden="false" customHeight="false" outlineLevel="0" collapsed="false">
      <c r="A26" s="9" t="str">
        <f aca="false">Population!A26</f>
        <v>Logan County</v>
      </c>
      <c r="B26" s="10" t="n">
        <f aca="false">Population!B26</f>
        <v>37710</v>
      </c>
      <c r="C26" s="11" t="n">
        <f aca="false">Population!B26+(Population!L26-Population!B26)*(2001-2000)/(2010-2000)</f>
        <v>37613.3</v>
      </c>
      <c r="D26" s="11" t="n">
        <f aca="false">Population!B26+(Population!L26-Population!B26)*(2002-2000)/(2010-2000)</f>
        <v>37516.6</v>
      </c>
      <c r="E26" s="11" t="n">
        <f aca="false">Population!B26+(Population!L26-Population!B26)*(2003-2000)/(2010-2000)</f>
        <v>37419.9</v>
      </c>
      <c r="F26" s="11" t="n">
        <f aca="false">Population!B26+(Population!L26-Population!B26)*(2004-2000)/(2010-2000)</f>
        <v>37323.2</v>
      </c>
      <c r="G26" s="11" t="n">
        <f aca="false">Population!B26+(Population!L26-Population!B26)*(2005-2000)/(2010-2000)</f>
        <v>37226.5</v>
      </c>
      <c r="H26" s="11" t="n">
        <f aca="false">Population!B26+(Population!L26-Population!B26)*(2006-2000)/(2010-2000)</f>
        <v>37129.8</v>
      </c>
      <c r="I26" s="11" t="n">
        <f aca="false">Population!B26+(Population!L26-Population!B26)*(2007-2000)/(2010-2000)</f>
        <v>37033.1</v>
      </c>
      <c r="J26" s="11" t="n">
        <f aca="false">Population!B26+(Population!L26-Population!B26)*(2008-2000)/(2010-2000)</f>
        <v>36936.4</v>
      </c>
      <c r="K26" s="11" t="n">
        <f aca="false">Population!B26+(Population!L26-Population!B26)*(2009-2000)/(2010-2000)</f>
        <v>36839.7</v>
      </c>
      <c r="L26" s="10" t="n">
        <f aca="false">Population!L26</f>
        <v>36743</v>
      </c>
      <c r="M26" s="11" t="n">
        <f aca="false">Population!L26+(Population!V26-Population!L26)*(2011-2010)/(2020-2010)</f>
        <v>36326</v>
      </c>
      <c r="N26" s="11" t="n">
        <f aca="false">Population!L26+(Population!V26-Population!L26)*(2012-2010)/(2020-2010)</f>
        <v>35909</v>
      </c>
      <c r="O26" s="11" t="n">
        <f aca="false">Population!L26+(Population!V26-Population!L26)*(2013-2010)/(2020-2010)</f>
        <v>35492</v>
      </c>
      <c r="P26" s="11" t="n">
        <f aca="false">Population!L26+(Population!V26-Population!L26)*(2014-2010)/(2020-2010)</f>
        <v>35075</v>
      </c>
      <c r="Q26" s="11" t="n">
        <f aca="false">Population!L26+(Population!V26-Population!L26)*(2015-2010)/(2020-2010)</f>
        <v>34658</v>
      </c>
      <c r="R26" s="11" t="n">
        <f aca="false">Population!L26+(Population!V26-Population!L26)*(2016-2010)/(2020-2010)</f>
        <v>34241</v>
      </c>
      <c r="S26" s="11" t="n">
        <f aca="false">Population!L26+(Population!V26-Population!L26)*(2017-2010)/(2020-2010)</f>
        <v>33824</v>
      </c>
      <c r="T26" s="11" t="n">
        <f aca="false">Population!L26+(Population!V26-Population!L26)*(2018-2010)/(2020-2010)</f>
        <v>33407</v>
      </c>
      <c r="U26" s="11" t="n">
        <f aca="false">Population!L26+(Population!V26-Population!L26)*(2019-2010)/(2020-2010)</f>
        <v>32990</v>
      </c>
      <c r="V26" s="10" t="n">
        <f aca="false">Population!V26</f>
        <v>32573</v>
      </c>
      <c r="W26" s="11" t="n">
        <f aca="false">Population!V26+(Population!Z26-Population!V26)*(2021-2020)/(2024-2020)</f>
        <v>32069.75</v>
      </c>
      <c r="X26" s="11" t="n">
        <f aca="false">Population!V26+(Population!Z26-Population!V26)*(2022-2020)/(2024-2020)</f>
        <v>31566.5</v>
      </c>
      <c r="Y26" s="11" t="n">
        <f aca="false">Population!V26+(Population!Z26-Population!V26)*(2023-2020)/(2024-2020)</f>
        <v>31063.25</v>
      </c>
      <c r="Z26" s="10" t="n">
        <f aca="false">Population!Z26</f>
        <v>30560</v>
      </c>
      <c r="AA26" s="12"/>
    </row>
    <row r="27" customFormat="false" ht="15" hidden="false" customHeight="false" outlineLevel="0" collapsed="false">
      <c r="A27" s="9" t="str">
        <f aca="false">Population!A27</f>
        <v>Marion County</v>
      </c>
      <c r="B27" s="10" t="n">
        <f aca="false">Population!B27</f>
        <v>56598</v>
      </c>
      <c r="C27" s="11" t="n">
        <f aca="false">Population!B27+(Population!L27-Population!B27)*(2001-2000)/(2010-2000)</f>
        <v>56580</v>
      </c>
      <c r="D27" s="11" t="n">
        <f aca="false">Population!B27+(Population!L27-Population!B27)*(2002-2000)/(2010-2000)</f>
        <v>56562</v>
      </c>
      <c r="E27" s="11" t="n">
        <f aca="false">Population!B27+(Population!L27-Population!B27)*(2003-2000)/(2010-2000)</f>
        <v>56544</v>
      </c>
      <c r="F27" s="11" t="n">
        <f aca="false">Population!B27+(Population!L27-Population!B27)*(2004-2000)/(2010-2000)</f>
        <v>56526</v>
      </c>
      <c r="G27" s="11" t="n">
        <f aca="false">Population!B27+(Population!L27-Population!B27)*(2005-2000)/(2010-2000)</f>
        <v>56508</v>
      </c>
      <c r="H27" s="11" t="n">
        <f aca="false">Population!B27+(Population!L27-Population!B27)*(2006-2000)/(2010-2000)</f>
        <v>56490</v>
      </c>
      <c r="I27" s="11" t="n">
        <f aca="false">Population!B27+(Population!L27-Population!B27)*(2007-2000)/(2010-2000)</f>
        <v>56472</v>
      </c>
      <c r="J27" s="11" t="n">
        <f aca="false">Population!B27+(Population!L27-Population!B27)*(2008-2000)/(2010-2000)</f>
        <v>56454</v>
      </c>
      <c r="K27" s="11" t="n">
        <f aca="false">Population!B27+(Population!L27-Population!B27)*(2009-2000)/(2010-2000)</f>
        <v>56436</v>
      </c>
      <c r="L27" s="10" t="n">
        <f aca="false">Population!L27</f>
        <v>56418</v>
      </c>
      <c r="M27" s="11" t="n">
        <f aca="false">Population!L27+(Population!V27-Population!L27)*(2011-2010)/(2020-2010)</f>
        <v>56397.2</v>
      </c>
      <c r="N27" s="11" t="n">
        <f aca="false">Population!L27+(Population!V27-Population!L27)*(2012-2010)/(2020-2010)</f>
        <v>56376.4</v>
      </c>
      <c r="O27" s="11" t="n">
        <f aca="false">Population!L27+(Population!V27-Population!L27)*(2013-2010)/(2020-2010)</f>
        <v>56355.6</v>
      </c>
      <c r="P27" s="11" t="n">
        <f aca="false">Population!L27+(Population!V27-Population!L27)*(2014-2010)/(2020-2010)</f>
        <v>56334.8</v>
      </c>
      <c r="Q27" s="11" t="n">
        <f aca="false">Population!L27+(Population!V27-Population!L27)*(2015-2010)/(2020-2010)</f>
        <v>56314</v>
      </c>
      <c r="R27" s="11" t="n">
        <f aca="false">Population!L27+(Population!V27-Population!L27)*(2016-2010)/(2020-2010)</f>
        <v>56293.2</v>
      </c>
      <c r="S27" s="11" t="n">
        <f aca="false">Population!L27+(Population!V27-Population!L27)*(2017-2010)/(2020-2010)</f>
        <v>56272.4</v>
      </c>
      <c r="T27" s="11" t="n">
        <f aca="false">Population!L27+(Population!V27-Population!L27)*(2018-2010)/(2020-2010)</f>
        <v>56251.6</v>
      </c>
      <c r="U27" s="11" t="n">
        <f aca="false">Population!L27+(Population!V27-Population!L27)*(2019-2010)/(2020-2010)</f>
        <v>56230.8</v>
      </c>
      <c r="V27" s="10" t="n">
        <f aca="false">Population!V27</f>
        <v>56210</v>
      </c>
      <c r="W27" s="11" t="n">
        <f aca="false">Population!V27+(Population!Z27-Population!V27)*(2021-2020)/(2024-2020)</f>
        <v>56069.75</v>
      </c>
      <c r="X27" s="11" t="n">
        <f aca="false">Population!V27+(Population!Z27-Population!V27)*(2022-2020)/(2024-2020)</f>
        <v>55929.5</v>
      </c>
      <c r="Y27" s="11" t="n">
        <f aca="false">Population!V27+(Population!Z27-Population!V27)*(2023-2020)/(2024-2020)</f>
        <v>55789.25</v>
      </c>
      <c r="Z27" s="10" t="n">
        <f aca="false">Population!Z27</f>
        <v>55649</v>
      </c>
      <c r="AA27" s="12"/>
    </row>
    <row r="28" customFormat="false" ht="15" hidden="false" customHeight="false" outlineLevel="0" collapsed="false">
      <c r="A28" s="9" t="str">
        <f aca="false">Population!A28</f>
        <v>Marshall County</v>
      </c>
      <c r="B28" s="10" t="n">
        <f aca="false">Population!B28</f>
        <v>35519</v>
      </c>
      <c r="C28" s="11" t="n">
        <f aca="false">Population!B28+(Population!L28-Population!B28)*(2001-2000)/(2010-2000)</f>
        <v>35277.8</v>
      </c>
      <c r="D28" s="11" t="n">
        <f aca="false">Population!B28+(Population!L28-Population!B28)*(2002-2000)/(2010-2000)</f>
        <v>35036.6</v>
      </c>
      <c r="E28" s="11" t="n">
        <f aca="false">Population!B28+(Population!L28-Population!B28)*(2003-2000)/(2010-2000)</f>
        <v>34795.4</v>
      </c>
      <c r="F28" s="11" t="n">
        <f aca="false">Population!B28+(Population!L28-Population!B28)*(2004-2000)/(2010-2000)</f>
        <v>34554.2</v>
      </c>
      <c r="G28" s="11" t="n">
        <f aca="false">Population!B28+(Population!L28-Population!B28)*(2005-2000)/(2010-2000)</f>
        <v>34313</v>
      </c>
      <c r="H28" s="11" t="n">
        <f aca="false">Population!B28+(Population!L28-Population!B28)*(2006-2000)/(2010-2000)</f>
        <v>34071.8</v>
      </c>
      <c r="I28" s="11" t="n">
        <f aca="false">Population!B28+(Population!L28-Population!B28)*(2007-2000)/(2010-2000)</f>
        <v>33830.6</v>
      </c>
      <c r="J28" s="11" t="n">
        <f aca="false">Population!B28+(Population!L28-Population!B28)*(2008-2000)/(2010-2000)</f>
        <v>33589.4</v>
      </c>
      <c r="K28" s="11" t="n">
        <f aca="false">Population!B28+(Population!L28-Population!B28)*(2009-2000)/(2010-2000)</f>
        <v>33348.2</v>
      </c>
      <c r="L28" s="10" t="n">
        <f aca="false">Population!L28</f>
        <v>33107</v>
      </c>
      <c r="M28" s="11" t="n">
        <f aca="false">Population!L28+(Population!V28-Population!L28)*(2011-2010)/(2020-2010)</f>
        <v>32858</v>
      </c>
      <c r="N28" s="11" t="n">
        <f aca="false">Population!L28+(Population!V28-Population!L28)*(2012-2010)/(2020-2010)</f>
        <v>32609</v>
      </c>
      <c r="O28" s="11" t="n">
        <f aca="false">Population!L28+(Population!V28-Population!L28)*(2013-2010)/(2020-2010)</f>
        <v>32360</v>
      </c>
      <c r="P28" s="11" t="n">
        <f aca="false">Population!L28+(Population!V28-Population!L28)*(2014-2010)/(2020-2010)</f>
        <v>32111</v>
      </c>
      <c r="Q28" s="11" t="n">
        <f aca="false">Population!L28+(Population!V28-Population!L28)*(2015-2010)/(2020-2010)</f>
        <v>31862</v>
      </c>
      <c r="R28" s="11" t="n">
        <f aca="false">Population!L28+(Population!V28-Population!L28)*(2016-2010)/(2020-2010)</f>
        <v>31613</v>
      </c>
      <c r="S28" s="11" t="n">
        <f aca="false">Population!L28+(Population!V28-Population!L28)*(2017-2010)/(2020-2010)</f>
        <v>31364</v>
      </c>
      <c r="T28" s="11" t="n">
        <f aca="false">Population!L28+(Population!V28-Population!L28)*(2018-2010)/(2020-2010)</f>
        <v>31115</v>
      </c>
      <c r="U28" s="11" t="n">
        <f aca="false">Population!L28+(Population!V28-Population!L28)*(2019-2010)/(2020-2010)</f>
        <v>30866</v>
      </c>
      <c r="V28" s="10" t="n">
        <f aca="false">Population!V28</f>
        <v>30617</v>
      </c>
      <c r="W28" s="11" t="n">
        <f aca="false">Population!V28+(Population!Z28-Population!V28)*(2021-2020)/(2024-2020)</f>
        <v>30301.25</v>
      </c>
      <c r="X28" s="11" t="n">
        <f aca="false">Population!V28+(Population!Z28-Population!V28)*(2022-2020)/(2024-2020)</f>
        <v>29985.5</v>
      </c>
      <c r="Y28" s="11" t="n">
        <f aca="false">Population!V28+(Population!Z28-Population!V28)*(2023-2020)/(2024-2020)</f>
        <v>29669.75</v>
      </c>
      <c r="Z28" s="10" t="n">
        <f aca="false">Population!Z28</f>
        <v>29354</v>
      </c>
      <c r="AA28" s="12"/>
    </row>
    <row r="29" customFormat="false" ht="15" hidden="false" customHeight="false" outlineLevel="0" collapsed="false">
      <c r="A29" s="9" t="str">
        <f aca="false">Population!A29</f>
        <v>Mason County</v>
      </c>
      <c r="B29" s="10" t="n">
        <f aca="false">Population!B29</f>
        <v>25957</v>
      </c>
      <c r="C29" s="11" t="n">
        <f aca="false">Population!B29+(Population!L29-Population!B29)*(2001-2000)/(2010-2000)</f>
        <v>26093.7</v>
      </c>
      <c r="D29" s="11" t="n">
        <f aca="false">Population!B29+(Population!L29-Population!B29)*(2002-2000)/(2010-2000)</f>
        <v>26230.4</v>
      </c>
      <c r="E29" s="11" t="n">
        <f aca="false">Population!B29+(Population!L29-Population!B29)*(2003-2000)/(2010-2000)</f>
        <v>26367.1</v>
      </c>
      <c r="F29" s="11" t="n">
        <f aca="false">Population!B29+(Population!L29-Population!B29)*(2004-2000)/(2010-2000)</f>
        <v>26503.8</v>
      </c>
      <c r="G29" s="11" t="n">
        <f aca="false">Population!B29+(Population!L29-Population!B29)*(2005-2000)/(2010-2000)</f>
        <v>26640.5</v>
      </c>
      <c r="H29" s="11" t="n">
        <f aca="false">Population!B29+(Population!L29-Population!B29)*(2006-2000)/(2010-2000)</f>
        <v>26777.2</v>
      </c>
      <c r="I29" s="11" t="n">
        <f aca="false">Population!B29+(Population!L29-Population!B29)*(2007-2000)/(2010-2000)</f>
        <v>26913.9</v>
      </c>
      <c r="J29" s="11" t="n">
        <f aca="false">Population!B29+(Population!L29-Population!B29)*(2008-2000)/(2010-2000)</f>
        <v>27050.6</v>
      </c>
      <c r="K29" s="11" t="n">
        <f aca="false">Population!B29+(Population!L29-Population!B29)*(2009-2000)/(2010-2000)</f>
        <v>27187.3</v>
      </c>
      <c r="L29" s="10" t="n">
        <f aca="false">Population!L29</f>
        <v>27324</v>
      </c>
      <c r="M29" s="11" t="n">
        <f aca="false">Population!L29+(Population!V29-Population!L29)*(2011-2010)/(2020-2010)</f>
        <v>27137.5</v>
      </c>
      <c r="N29" s="11" t="n">
        <f aca="false">Population!L29+(Population!V29-Population!L29)*(2012-2010)/(2020-2010)</f>
        <v>26951</v>
      </c>
      <c r="O29" s="11" t="n">
        <f aca="false">Population!L29+(Population!V29-Population!L29)*(2013-2010)/(2020-2010)</f>
        <v>26764.5</v>
      </c>
      <c r="P29" s="11" t="n">
        <f aca="false">Population!L29+(Population!V29-Population!L29)*(2014-2010)/(2020-2010)</f>
        <v>26578</v>
      </c>
      <c r="Q29" s="11" t="n">
        <f aca="false">Population!L29+(Population!V29-Population!L29)*(2015-2010)/(2020-2010)</f>
        <v>26391.5</v>
      </c>
      <c r="R29" s="11" t="n">
        <f aca="false">Population!L29+(Population!V29-Population!L29)*(2016-2010)/(2020-2010)</f>
        <v>26205</v>
      </c>
      <c r="S29" s="11" t="n">
        <f aca="false">Population!L29+(Population!V29-Population!L29)*(2017-2010)/(2020-2010)</f>
        <v>26018.5</v>
      </c>
      <c r="T29" s="11" t="n">
        <f aca="false">Population!L29+(Population!V29-Population!L29)*(2018-2010)/(2020-2010)</f>
        <v>25832</v>
      </c>
      <c r="U29" s="11" t="n">
        <f aca="false">Population!L29+(Population!V29-Population!L29)*(2019-2010)/(2020-2010)</f>
        <v>25645.5</v>
      </c>
      <c r="V29" s="10" t="n">
        <f aca="false">Population!V29</f>
        <v>25459</v>
      </c>
      <c r="W29" s="11" t="n">
        <f aca="false">Population!V29+(Population!Z29-Population!V29)*(2021-2020)/(2024-2020)</f>
        <v>25286.75</v>
      </c>
      <c r="X29" s="11" t="n">
        <f aca="false">Population!V29+(Population!Z29-Population!V29)*(2022-2020)/(2024-2020)</f>
        <v>25114.5</v>
      </c>
      <c r="Y29" s="11" t="n">
        <f aca="false">Population!V29+(Population!Z29-Population!V29)*(2023-2020)/(2024-2020)</f>
        <v>24942.25</v>
      </c>
      <c r="Z29" s="10" t="n">
        <f aca="false">Population!Z29</f>
        <v>24770</v>
      </c>
      <c r="AA29" s="12"/>
    </row>
    <row r="30" customFormat="false" ht="15" hidden="false" customHeight="false" outlineLevel="0" collapsed="false">
      <c r="A30" s="9" t="str">
        <f aca="false">Population!A30</f>
        <v>McDowell County</v>
      </c>
      <c r="B30" s="10" t="n">
        <f aca="false">Population!B30</f>
        <v>27329</v>
      </c>
      <c r="C30" s="11" t="n">
        <f aca="false">Population!B30+(Population!L30-Population!B30)*(2001-2000)/(2010-2000)</f>
        <v>26807.4</v>
      </c>
      <c r="D30" s="11" t="n">
        <f aca="false">Population!B30+(Population!L30-Population!B30)*(2002-2000)/(2010-2000)</f>
        <v>26285.8</v>
      </c>
      <c r="E30" s="11" t="n">
        <f aca="false">Population!B30+(Population!L30-Population!B30)*(2003-2000)/(2010-2000)</f>
        <v>25764.2</v>
      </c>
      <c r="F30" s="11" t="n">
        <f aca="false">Population!B30+(Population!L30-Population!B30)*(2004-2000)/(2010-2000)</f>
        <v>25242.6</v>
      </c>
      <c r="G30" s="11" t="n">
        <f aca="false">Population!B30+(Population!L30-Population!B30)*(2005-2000)/(2010-2000)</f>
        <v>24721</v>
      </c>
      <c r="H30" s="11" t="n">
        <f aca="false">Population!B30+(Population!L30-Population!B30)*(2006-2000)/(2010-2000)</f>
        <v>24199.4</v>
      </c>
      <c r="I30" s="11" t="n">
        <f aca="false">Population!B30+(Population!L30-Population!B30)*(2007-2000)/(2010-2000)</f>
        <v>23677.8</v>
      </c>
      <c r="J30" s="11" t="n">
        <f aca="false">Population!B30+(Population!L30-Population!B30)*(2008-2000)/(2010-2000)</f>
        <v>23156.2</v>
      </c>
      <c r="K30" s="11" t="n">
        <f aca="false">Population!B30+(Population!L30-Population!B30)*(2009-2000)/(2010-2000)</f>
        <v>22634.6</v>
      </c>
      <c r="L30" s="10" t="n">
        <f aca="false">Population!L30</f>
        <v>22113</v>
      </c>
      <c r="M30" s="11" t="n">
        <f aca="false">Population!L30+(Population!V30-Population!L30)*(2011-2010)/(2020-2010)</f>
        <v>21813.6</v>
      </c>
      <c r="N30" s="11" t="n">
        <f aca="false">Population!L30+(Population!V30-Population!L30)*(2012-2010)/(2020-2010)</f>
        <v>21514.2</v>
      </c>
      <c r="O30" s="11" t="n">
        <f aca="false">Population!L30+(Population!V30-Population!L30)*(2013-2010)/(2020-2010)</f>
        <v>21214.8</v>
      </c>
      <c r="P30" s="11" t="n">
        <f aca="false">Population!L30+(Population!V30-Population!L30)*(2014-2010)/(2020-2010)</f>
        <v>20915.4</v>
      </c>
      <c r="Q30" s="11" t="n">
        <f aca="false">Population!L30+(Population!V30-Population!L30)*(2015-2010)/(2020-2010)</f>
        <v>20616</v>
      </c>
      <c r="R30" s="11" t="n">
        <f aca="false">Population!L30+(Population!V30-Population!L30)*(2016-2010)/(2020-2010)</f>
        <v>20316.6</v>
      </c>
      <c r="S30" s="11" t="n">
        <f aca="false">Population!L30+(Population!V30-Population!L30)*(2017-2010)/(2020-2010)</f>
        <v>20017.2</v>
      </c>
      <c r="T30" s="11" t="n">
        <f aca="false">Population!L30+(Population!V30-Population!L30)*(2018-2010)/(2020-2010)</f>
        <v>19717.8</v>
      </c>
      <c r="U30" s="11" t="n">
        <f aca="false">Population!L30+(Population!V30-Population!L30)*(2019-2010)/(2020-2010)</f>
        <v>19418.4</v>
      </c>
      <c r="V30" s="10" t="n">
        <f aca="false">Population!V30</f>
        <v>19119</v>
      </c>
      <c r="W30" s="11" t="n">
        <f aca="false">Population!V30+(Population!Z30-Population!V30)*(2021-2020)/(2024-2020)</f>
        <v>18626</v>
      </c>
      <c r="X30" s="11" t="n">
        <f aca="false">Population!V30+(Population!Z30-Population!V30)*(2022-2020)/(2024-2020)</f>
        <v>18133</v>
      </c>
      <c r="Y30" s="11" t="n">
        <f aca="false">Population!V30+(Population!Z30-Population!V30)*(2023-2020)/(2024-2020)</f>
        <v>17640</v>
      </c>
      <c r="Z30" s="10" t="n">
        <f aca="false">Population!Z30</f>
        <v>17147</v>
      </c>
      <c r="AA30" s="12"/>
    </row>
    <row r="31" customFormat="false" ht="15" hidden="false" customHeight="false" outlineLevel="0" collapsed="false">
      <c r="A31" s="9" t="str">
        <f aca="false">Population!A31</f>
        <v>Mercer County</v>
      </c>
      <c r="B31" s="10" t="n">
        <f aca="false">Population!B31</f>
        <v>62980</v>
      </c>
      <c r="C31" s="11" t="n">
        <f aca="false">Population!B31+(Population!L31-Population!B31)*(2001-2000)/(2010-2000)</f>
        <v>62908.4</v>
      </c>
      <c r="D31" s="11" t="n">
        <f aca="false">Population!B31+(Population!L31-Population!B31)*(2002-2000)/(2010-2000)</f>
        <v>62836.8</v>
      </c>
      <c r="E31" s="11" t="n">
        <f aca="false">Population!B31+(Population!L31-Population!B31)*(2003-2000)/(2010-2000)</f>
        <v>62765.2</v>
      </c>
      <c r="F31" s="11" t="n">
        <f aca="false">Population!B31+(Population!L31-Population!B31)*(2004-2000)/(2010-2000)</f>
        <v>62693.6</v>
      </c>
      <c r="G31" s="11" t="n">
        <f aca="false">Population!B31+(Population!L31-Population!B31)*(2005-2000)/(2010-2000)</f>
        <v>62622</v>
      </c>
      <c r="H31" s="11" t="n">
        <f aca="false">Population!B31+(Population!L31-Population!B31)*(2006-2000)/(2010-2000)</f>
        <v>62550.4</v>
      </c>
      <c r="I31" s="11" t="n">
        <f aca="false">Population!B31+(Population!L31-Population!B31)*(2007-2000)/(2010-2000)</f>
        <v>62478.8</v>
      </c>
      <c r="J31" s="11" t="n">
        <f aca="false">Population!B31+(Population!L31-Population!B31)*(2008-2000)/(2010-2000)</f>
        <v>62407.2</v>
      </c>
      <c r="K31" s="11" t="n">
        <f aca="false">Population!B31+(Population!L31-Population!B31)*(2009-2000)/(2010-2000)</f>
        <v>62335.6</v>
      </c>
      <c r="L31" s="10" t="n">
        <f aca="false">Population!L31</f>
        <v>62264</v>
      </c>
      <c r="M31" s="11" t="n">
        <f aca="false">Population!L31+(Population!V31-Population!L31)*(2011-2010)/(2020-2010)</f>
        <v>62003</v>
      </c>
      <c r="N31" s="11" t="n">
        <f aca="false">Population!L31+(Population!V31-Population!L31)*(2012-2010)/(2020-2010)</f>
        <v>61742</v>
      </c>
      <c r="O31" s="11" t="n">
        <f aca="false">Population!L31+(Population!V31-Population!L31)*(2013-2010)/(2020-2010)</f>
        <v>61481</v>
      </c>
      <c r="P31" s="11" t="n">
        <f aca="false">Population!L31+(Population!V31-Population!L31)*(2014-2010)/(2020-2010)</f>
        <v>61220</v>
      </c>
      <c r="Q31" s="11" t="n">
        <f aca="false">Population!L31+(Population!V31-Population!L31)*(2015-2010)/(2020-2010)</f>
        <v>60959</v>
      </c>
      <c r="R31" s="11" t="n">
        <f aca="false">Population!L31+(Population!V31-Population!L31)*(2016-2010)/(2020-2010)</f>
        <v>60698</v>
      </c>
      <c r="S31" s="11" t="n">
        <f aca="false">Population!L31+(Population!V31-Population!L31)*(2017-2010)/(2020-2010)</f>
        <v>60437</v>
      </c>
      <c r="T31" s="11" t="n">
        <f aca="false">Population!L31+(Population!V31-Population!L31)*(2018-2010)/(2020-2010)</f>
        <v>60176</v>
      </c>
      <c r="U31" s="11" t="n">
        <f aca="false">Population!L31+(Population!V31-Population!L31)*(2019-2010)/(2020-2010)</f>
        <v>59915</v>
      </c>
      <c r="V31" s="10" t="n">
        <f aca="false">Population!V31</f>
        <v>59654</v>
      </c>
      <c r="W31" s="11" t="n">
        <f aca="false">Population!V31+(Population!Z31-Population!V31)*(2021-2020)/(2024-2020)</f>
        <v>59121.5</v>
      </c>
      <c r="X31" s="11" t="n">
        <f aca="false">Population!V31+(Population!Z31-Population!V31)*(2022-2020)/(2024-2020)</f>
        <v>58589</v>
      </c>
      <c r="Y31" s="11" t="n">
        <f aca="false">Population!V31+(Population!Z31-Population!V31)*(2023-2020)/(2024-2020)</f>
        <v>58056.5</v>
      </c>
      <c r="Z31" s="10" t="n">
        <f aca="false">Population!Z31</f>
        <v>57524</v>
      </c>
      <c r="AA31" s="12"/>
    </row>
    <row r="32" customFormat="false" ht="15" hidden="false" customHeight="false" outlineLevel="0" collapsed="false">
      <c r="A32" s="9" t="str">
        <f aca="false">Population!A32</f>
        <v>Mineral County</v>
      </c>
      <c r="B32" s="10" t="n">
        <f aca="false">Population!B32</f>
        <v>27078</v>
      </c>
      <c r="C32" s="11" t="n">
        <f aca="false">Population!B32+(Population!L32-Population!B32)*(2001-2000)/(2010-2000)</f>
        <v>27191.4</v>
      </c>
      <c r="D32" s="11" t="n">
        <f aca="false">Population!B32+(Population!L32-Population!B32)*(2002-2000)/(2010-2000)</f>
        <v>27304.8</v>
      </c>
      <c r="E32" s="11" t="n">
        <f aca="false">Population!B32+(Population!L32-Population!B32)*(2003-2000)/(2010-2000)</f>
        <v>27418.2</v>
      </c>
      <c r="F32" s="11" t="n">
        <f aca="false">Population!B32+(Population!L32-Population!B32)*(2004-2000)/(2010-2000)</f>
        <v>27531.6</v>
      </c>
      <c r="G32" s="11" t="n">
        <f aca="false">Population!B32+(Population!L32-Population!B32)*(2005-2000)/(2010-2000)</f>
        <v>27645</v>
      </c>
      <c r="H32" s="11" t="n">
        <f aca="false">Population!B32+(Population!L32-Population!B32)*(2006-2000)/(2010-2000)</f>
        <v>27758.4</v>
      </c>
      <c r="I32" s="11" t="n">
        <f aca="false">Population!B32+(Population!L32-Population!B32)*(2007-2000)/(2010-2000)</f>
        <v>27871.8</v>
      </c>
      <c r="J32" s="11" t="n">
        <f aca="false">Population!B32+(Population!L32-Population!B32)*(2008-2000)/(2010-2000)</f>
        <v>27985.2</v>
      </c>
      <c r="K32" s="11" t="n">
        <f aca="false">Population!B32+(Population!L32-Population!B32)*(2009-2000)/(2010-2000)</f>
        <v>28098.6</v>
      </c>
      <c r="L32" s="10" t="n">
        <f aca="false">Population!L32</f>
        <v>28212</v>
      </c>
      <c r="M32" s="11" t="n">
        <f aca="false">Population!L32+(Population!V32-Population!L32)*(2011-2010)/(2020-2010)</f>
        <v>28085</v>
      </c>
      <c r="N32" s="11" t="n">
        <f aca="false">Population!L32+(Population!V32-Population!L32)*(2012-2010)/(2020-2010)</f>
        <v>27958</v>
      </c>
      <c r="O32" s="11" t="n">
        <f aca="false">Population!L32+(Population!V32-Population!L32)*(2013-2010)/(2020-2010)</f>
        <v>27831</v>
      </c>
      <c r="P32" s="11" t="n">
        <f aca="false">Population!L32+(Population!V32-Population!L32)*(2014-2010)/(2020-2010)</f>
        <v>27704</v>
      </c>
      <c r="Q32" s="11" t="n">
        <f aca="false">Population!L32+(Population!V32-Population!L32)*(2015-2010)/(2020-2010)</f>
        <v>27577</v>
      </c>
      <c r="R32" s="11" t="n">
        <f aca="false">Population!L32+(Population!V32-Population!L32)*(2016-2010)/(2020-2010)</f>
        <v>27450</v>
      </c>
      <c r="S32" s="11" t="n">
        <f aca="false">Population!L32+(Population!V32-Population!L32)*(2017-2010)/(2020-2010)</f>
        <v>27323</v>
      </c>
      <c r="T32" s="11" t="n">
        <f aca="false">Population!L32+(Population!V32-Population!L32)*(2018-2010)/(2020-2010)</f>
        <v>27196</v>
      </c>
      <c r="U32" s="11" t="n">
        <f aca="false">Population!L32+(Population!V32-Population!L32)*(2019-2010)/(2020-2010)</f>
        <v>27069</v>
      </c>
      <c r="V32" s="10" t="n">
        <f aca="false">Population!V32</f>
        <v>26942</v>
      </c>
      <c r="W32" s="11" t="n">
        <f aca="false">Population!V32+(Population!Z32-Population!V32)*(2021-2020)/(2024-2020)</f>
        <v>26901</v>
      </c>
      <c r="X32" s="11" t="n">
        <f aca="false">Population!V32+(Population!Z32-Population!V32)*(2022-2020)/(2024-2020)</f>
        <v>26860</v>
      </c>
      <c r="Y32" s="11" t="n">
        <f aca="false">Population!V32+(Population!Z32-Population!V32)*(2023-2020)/(2024-2020)</f>
        <v>26819</v>
      </c>
      <c r="Z32" s="10" t="n">
        <f aca="false">Population!Z32</f>
        <v>26778</v>
      </c>
      <c r="AA32" s="12"/>
    </row>
    <row r="33" customFormat="false" ht="15" hidden="false" customHeight="false" outlineLevel="0" collapsed="false">
      <c r="A33" s="9" t="str">
        <f aca="false">Population!A33</f>
        <v>Mingo County</v>
      </c>
      <c r="B33" s="10" t="n">
        <f aca="false">Population!B33</f>
        <v>28253</v>
      </c>
      <c r="C33" s="11" t="n">
        <f aca="false">Population!B33+(Population!L33-Population!B33)*(2001-2000)/(2010-2000)</f>
        <v>28111.6</v>
      </c>
      <c r="D33" s="11" t="n">
        <f aca="false">Population!B33+(Population!L33-Population!B33)*(2002-2000)/(2010-2000)</f>
        <v>27970.2</v>
      </c>
      <c r="E33" s="11" t="n">
        <f aca="false">Population!B33+(Population!L33-Population!B33)*(2003-2000)/(2010-2000)</f>
        <v>27828.8</v>
      </c>
      <c r="F33" s="11" t="n">
        <f aca="false">Population!B33+(Population!L33-Population!B33)*(2004-2000)/(2010-2000)</f>
        <v>27687.4</v>
      </c>
      <c r="G33" s="11" t="n">
        <f aca="false">Population!B33+(Population!L33-Population!B33)*(2005-2000)/(2010-2000)</f>
        <v>27546</v>
      </c>
      <c r="H33" s="11" t="n">
        <f aca="false">Population!B33+(Population!L33-Population!B33)*(2006-2000)/(2010-2000)</f>
        <v>27404.6</v>
      </c>
      <c r="I33" s="11" t="n">
        <f aca="false">Population!B33+(Population!L33-Population!B33)*(2007-2000)/(2010-2000)</f>
        <v>27263.2</v>
      </c>
      <c r="J33" s="11" t="n">
        <f aca="false">Population!B33+(Population!L33-Population!B33)*(2008-2000)/(2010-2000)</f>
        <v>27121.8</v>
      </c>
      <c r="K33" s="11" t="n">
        <f aca="false">Population!B33+(Population!L33-Population!B33)*(2009-2000)/(2010-2000)</f>
        <v>26980.4</v>
      </c>
      <c r="L33" s="10" t="n">
        <f aca="false">Population!L33</f>
        <v>26839</v>
      </c>
      <c r="M33" s="11" t="n">
        <f aca="false">Population!L33+(Population!V33-Population!L33)*(2011-2010)/(2020-2010)</f>
        <v>26512.2</v>
      </c>
      <c r="N33" s="11" t="n">
        <f aca="false">Population!L33+(Population!V33-Population!L33)*(2012-2010)/(2020-2010)</f>
        <v>26185.4</v>
      </c>
      <c r="O33" s="11" t="n">
        <f aca="false">Population!L33+(Population!V33-Population!L33)*(2013-2010)/(2020-2010)</f>
        <v>25858.6</v>
      </c>
      <c r="P33" s="11" t="n">
        <f aca="false">Population!L33+(Population!V33-Population!L33)*(2014-2010)/(2020-2010)</f>
        <v>25531.8</v>
      </c>
      <c r="Q33" s="11" t="n">
        <f aca="false">Population!L33+(Population!V33-Population!L33)*(2015-2010)/(2020-2010)</f>
        <v>25205</v>
      </c>
      <c r="R33" s="11" t="n">
        <f aca="false">Population!L33+(Population!V33-Population!L33)*(2016-2010)/(2020-2010)</f>
        <v>24878.2</v>
      </c>
      <c r="S33" s="11" t="n">
        <f aca="false">Population!L33+(Population!V33-Population!L33)*(2017-2010)/(2020-2010)</f>
        <v>24551.4</v>
      </c>
      <c r="T33" s="11" t="n">
        <f aca="false">Population!L33+(Population!V33-Population!L33)*(2018-2010)/(2020-2010)</f>
        <v>24224.6</v>
      </c>
      <c r="U33" s="11" t="n">
        <f aca="false">Population!L33+(Population!V33-Population!L33)*(2019-2010)/(2020-2010)</f>
        <v>23897.8</v>
      </c>
      <c r="V33" s="10" t="n">
        <f aca="false">Population!V33</f>
        <v>23571</v>
      </c>
      <c r="W33" s="11" t="n">
        <f aca="false">Population!V33+(Population!Z33-Population!V33)*(2021-2020)/(2024-2020)</f>
        <v>23106.25</v>
      </c>
      <c r="X33" s="11" t="n">
        <f aca="false">Population!V33+(Population!Z33-Population!V33)*(2022-2020)/(2024-2020)</f>
        <v>22641.5</v>
      </c>
      <c r="Y33" s="11" t="n">
        <f aca="false">Population!V33+(Population!Z33-Population!V33)*(2023-2020)/(2024-2020)</f>
        <v>22176.75</v>
      </c>
      <c r="Z33" s="10" t="n">
        <f aca="false">Population!Z33</f>
        <v>21712</v>
      </c>
      <c r="AA33" s="12"/>
    </row>
    <row r="34" customFormat="false" ht="15" hidden="false" customHeight="false" outlineLevel="0" collapsed="false">
      <c r="A34" s="9" t="str">
        <f aca="false">Population!A34</f>
        <v>Monongalia County</v>
      </c>
      <c r="B34" s="10" t="n">
        <f aca="false">Population!B34</f>
        <v>81866</v>
      </c>
      <c r="C34" s="11" t="n">
        <f aca="false">Population!B34+(Population!L34-Population!B34)*(2001-2000)/(2010-2000)</f>
        <v>83298.3</v>
      </c>
      <c r="D34" s="11" t="n">
        <f aca="false">Population!B34+(Population!L34-Population!B34)*(2002-2000)/(2010-2000)</f>
        <v>84730.6</v>
      </c>
      <c r="E34" s="11" t="n">
        <f aca="false">Population!B34+(Population!L34-Population!B34)*(2003-2000)/(2010-2000)</f>
        <v>86162.9</v>
      </c>
      <c r="F34" s="11" t="n">
        <f aca="false">Population!B34+(Population!L34-Population!B34)*(2004-2000)/(2010-2000)</f>
        <v>87595.2</v>
      </c>
      <c r="G34" s="11" t="n">
        <f aca="false">Population!B34+(Population!L34-Population!B34)*(2005-2000)/(2010-2000)</f>
        <v>89027.5</v>
      </c>
      <c r="H34" s="11" t="n">
        <f aca="false">Population!B34+(Population!L34-Population!B34)*(2006-2000)/(2010-2000)</f>
        <v>90459.8</v>
      </c>
      <c r="I34" s="11" t="n">
        <f aca="false">Population!B34+(Population!L34-Population!B34)*(2007-2000)/(2010-2000)</f>
        <v>91892.1</v>
      </c>
      <c r="J34" s="11" t="n">
        <f aca="false">Population!B34+(Population!L34-Population!B34)*(2008-2000)/(2010-2000)</f>
        <v>93324.4</v>
      </c>
      <c r="K34" s="11" t="n">
        <f aca="false">Population!B34+(Population!L34-Population!B34)*(2009-2000)/(2010-2000)</f>
        <v>94756.7</v>
      </c>
      <c r="L34" s="10" t="n">
        <f aca="false">Population!L34</f>
        <v>96189</v>
      </c>
      <c r="M34" s="11" t="n">
        <f aca="false">Population!L34+(Population!V34-Population!L34)*(2011-2010)/(2020-2010)</f>
        <v>97152.4</v>
      </c>
      <c r="N34" s="11" t="n">
        <f aca="false">Population!L34+(Population!V34-Population!L34)*(2012-2010)/(2020-2010)</f>
        <v>98115.8</v>
      </c>
      <c r="O34" s="11" t="n">
        <f aca="false">Population!L34+(Population!V34-Population!L34)*(2013-2010)/(2020-2010)</f>
        <v>99079.2</v>
      </c>
      <c r="P34" s="11" t="n">
        <f aca="false">Population!L34+(Population!V34-Population!L34)*(2014-2010)/(2020-2010)</f>
        <v>100042.6</v>
      </c>
      <c r="Q34" s="11" t="n">
        <f aca="false">Population!L34+(Population!V34-Population!L34)*(2015-2010)/(2020-2010)</f>
        <v>101006</v>
      </c>
      <c r="R34" s="11" t="n">
        <f aca="false">Population!L34+(Population!V34-Population!L34)*(2016-2010)/(2020-2010)</f>
        <v>101969.4</v>
      </c>
      <c r="S34" s="11" t="n">
        <f aca="false">Population!L34+(Population!V34-Population!L34)*(2017-2010)/(2020-2010)</f>
        <v>102932.8</v>
      </c>
      <c r="T34" s="11" t="n">
        <f aca="false">Population!L34+(Population!V34-Population!L34)*(2018-2010)/(2020-2010)</f>
        <v>103896.2</v>
      </c>
      <c r="U34" s="11" t="n">
        <f aca="false">Population!L34+(Population!V34-Population!L34)*(2019-2010)/(2020-2010)</f>
        <v>104859.6</v>
      </c>
      <c r="V34" s="10" t="n">
        <f aca="false">Population!V34</f>
        <v>105823</v>
      </c>
      <c r="W34" s="11" t="n">
        <f aca="false">Population!V34+(Population!Z34-Population!V34)*(2021-2020)/(2024-2020)</f>
        <v>106541.5</v>
      </c>
      <c r="X34" s="11" t="n">
        <f aca="false">Population!V34+(Population!Z34-Population!V34)*(2022-2020)/(2024-2020)</f>
        <v>107260</v>
      </c>
      <c r="Y34" s="11" t="n">
        <f aca="false">Population!V34+(Population!Z34-Population!V34)*(2023-2020)/(2024-2020)</f>
        <v>107978.5</v>
      </c>
      <c r="Z34" s="10" t="n">
        <f aca="false">Population!Z34</f>
        <v>108697</v>
      </c>
      <c r="AA34" s="12"/>
    </row>
    <row r="35" customFormat="false" ht="15" hidden="false" customHeight="false" outlineLevel="0" collapsed="false">
      <c r="A35" s="9" t="str">
        <f aca="false">Population!A35</f>
        <v>Monroe County</v>
      </c>
      <c r="B35" s="10" t="n">
        <f aca="false">Population!B35</f>
        <v>14583</v>
      </c>
      <c r="C35" s="11" t="n">
        <f aca="false">Population!B35+(Population!L35-Population!B35)*(2001-2000)/(2010-2000)</f>
        <v>14474.9</v>
      </c>
      <c r="D35" s="11" t="n">
        <f aca="false">Population!B35+(Population!L35-Population!B35)*(2002-2000)/(2010-2000)</f>
        <v>14366.8</v>
      </c>
      <c r="E35" s="11" t="n">
        <f aca="false">Population!B35+(Population!L35-Population!B35)*(2003-2000)/(2010-2000)</f>
        <v>14258.7</v>
      </c>
      <c r="F35" s="11" t="n">
        <f aca="false">Population!B35+(Population!L35-Population!B35)*(2004-2000)/(2010-2000)</f>
        <v>14150.6</v>
      </c>
      <c r="G35" s="11" t="n">
        <f aca="false">Population!B35+(Population!L35-Population!B35)*(2005-2000)/(2010-2000)</f>
        <v>14042.5</v>
      </c>
      <c r="H35" s="11" t="n">
        <f aca="false">Population!B35+(Population!L35-Population!B35)*(2006-2000)/(2010-2000)</f>
        <v>13934.4</v>
      </c>
      <c r="I35" s="11" t="n">
        <f aca="false">Population!B35+(Population!L35-Population!B35)*(2007-2000)/(2010-2000)</f>
        <v>13826.3</v>
      </c>
      <c r="J35" s="11" t="n">
        <f aca="false">Population!B35+(Population!L35-Population!B35)*(2008-2000)/(2010-2000)</f>
        <v>13718.2</v>
      </c>
      <c r="K35" s="11" t="n">
        <f aca="false">Population!B35+(Population!L35-Population!B35)*(2009-2000)/(2010-2000)</f>
        <v>13610.1</v>
      </c>
      <c r="L35" s="10" t="n">
        <f aca="false">Population!L35</f>
        <v>13502</v>
      </c>
      <c r="M35" s="11" t="n">
        <f aca="false">Population!L35+(Population!V35-Population!L35)*(2011-2010)/(2020-2010)</f>
        <v>13389.7</v>
      </c>
      <c r="N35" s="11" t="n">
        <f aca="false">Population!L35+(Population!V35-Population!L35)*(2012-2010)/(2020-2010)</f>
        <v>13277.4</v>
      </c>
      <c r="O35" s="11" t="n">
        <f aca="false">Population!L35+(Population!V35-Population!L35)*(2013-2010)/(2020-2010)</f>
        <v>13165.1</v>
      </c>
      <c r="P35" s="11" t="n">
        <f aca="false">Population!L35+(Population!V35-Population!L35)*(2014-2010)/(2020-2010)</f>
        <v>13052.8</v>
      </c>
      <c r="Q35" s="11" t="n">
        <f aca="false">Population!L35+(Population!V35-Population!L35)*(2015-2010)/(2020-2010)</f>
        <v>12940.5</v>
      </c>
      <c r="R35" s="11" t="n">
        <f aca="false">Population!L35+(Population!V35-Population!L35)*(2016-2010)/(2020-2010)</f>
        <v>12828.2</v>
      </c>
      <c r="S35" s="11" t="n">
        <f aca="false">Population!L35+(Population!V35-Population!L35)*(2017-2010)/(2020-2010)</f>
        <v>12715.9</v>
      </c>
      <c r="T35" s="11" t="n">
        <f aca="false">Population!L35+(Population!V35-Population!L35)*(2018-2010)/(2020-2010)</f>
        <v>12603.6</v>
      </c>
      <c r="U35" s="11" t="n">
        <f aca="false">Population!L35+(Population!V35-Population!L35)*(2019-2010)/(2020-2010)</f>
        <v>12491.3</v>
      </c>
      <c r="V35" s="10" t="n">
        <f aca="false">Population!V35</f>
        <v>12379</v>
      </c>
      <c r="W35" s="11" t="n">
        <f aca="false">Population!V35+(Population!Z35-Population!V35)*(2021-2020)/(2024-2020)</f>
        <v>12399.75</v>
      </c>
      <c r="X35" s="11" t="n">
        <f aca="false">Population!V35+(Population!Z35-Population!V35)*(2022-2020)/(2024-2020)</f>
        <v>12420.5</v>
      </c>
      <c r="Y35" s="11" t="n">
        <f aca="false">Population!V35+(Population!Z35-Population!V35)*(2023-2020)/(2024-2020)</f>
        <v>12441.25</v>
      </c>
      <c r="Z35" s="10" t="n">
        <f aca="false">Population!Z35</f>
        <v>12462</v>
      </c>
      <c r="AA35" s="12"/>
    </row>
    <row r="36" customFormat="false" ht="15" hidden="false" customHeight="false" outlineLevel="0" collapsed="false">
      <c r="A36" s="9" t="str">
        <f aca="false">Population!A36</f>
        <v>Morgan County</v>
      </c>
      <c r="B36" s="10" t="n">
        <f aca="false">Population!B36</f>
        <v>14943</v>
      </c>
      <c r="C36" s="11" t="n">
        <f aca="false">Population!B36+(Population!L36-Population!B36)*(2001-2000)/(2010-2000)</f>
        <v>15202.8</v>
      </c>
      <c r="D36" s="11" t="n">
        <f aca="false">Population!B36+(Population!L36-Population!B36)*(2002-2000)/(2010-2000)</f>
        <v>15462.6</v>
      </c>
      <c r="E36" s="11" t="n">
        <f aca="false">Population!B36+(Population!L36-Population!B36)*(2003-2000)/(2010-2000)</f>
        <v>15722.4</v>
      </c>
      <c r="F36" s="11" t="n">
        <f aca="false">Population!B36+(Population!L36-Population!B36)*(2004-2000)/(2010-2000)</f>
        <v>15982.2</v>
      </c>
      <c r="G36" s="11" t="n">
        <f aca="false">Population!B36+(Population!L36-Population!B36)*(2005-2000)/(2010-2000)</f>
        <v>16242</v>
      </c>
      <c r="H36" s="11" t="n">
        <f aca="false">Population!B36+(Population!L36-Population!B36)*(2006-2000)/(2010-2000)</f>
        <v>16501.8</v>
      </c>
      <c r="I36" s="11" t="n">
        <f aca="false">Population!B36+(Population!L36-Population!B36)*(2007-2000)/(2010-2000)</f>
        <v>16761.6</v>
      </c>
      <c r="J36" s="11" t="n">
        <f aca="false">Population!B36+(Population!L36-Population!B36)*(2008-2000)/(2010-2000)</f>
        <v>17021.4</v>
      </c>
      <c r="K36" s="11" t="n">
        <f aca="false">Population!B36+(Population!L36-Population!B36)*(2009-2000)/(2010-2000)</f>
        <v>17281.2</v>
      </c>
      <c r="L36" s="10" t="n">
        <f aca="false">Population!L36</f>
        <v>17541</v>
      </c>
      <c r="M36" s="11" t="n">
        <f aca="false">Population!L36+(Population!V36-Population!L36)*(2011-2010)/(2020-2010)</f>
        <v>17493.3</v>
      </c>
      <c r="N36" s="11" t="n">
        <f aca="false">Population!L36+(Population!V36-Population!L36)*(2012-2010)/(2020-2010)</f>
        <v>17445.6</v>
      </c>
      <c r="O36" s="11" t="n">
        <f aca="false">Population!L36+(Population!V36-Population!L36)*(2013-2010)/(2020-2010)</f>
        <v>17397.9</v>
      </c>
      <c r="P36" s="11" t="n">
        <f aca="false">Population!L36+(Population!V36-Population!L36)*(2014-2010)/(2020-2010)</f>
        <v>17350.2</v>
      </c>
      <c r="Q36" s="11" t="n">
        <f aca="false">Population!L36+(Population!V36-Population!L36)*(2015-2010)/(2020-2010)</f>
        <v>17302.5</v>
      </c>
      <c r="R36" s="11" t="n">
        <f aca="false">Population!L36+(Population!V36-Population!L36)*(2016-2010)/(2020-2010)</f>
        <v>17254.8</v>
      </c>
      <c r="S36" s="11" t="n">
        <f aca="false">Population!L36+(Population!V36-Population!L36)*(2017-2010)/(2020-2010)</f>
        <v>17207.1</v>
      </c>
      <c r="T36" s="11" t="n">
        <f aca="false">Population!L36+(Population!V36-Population!L36)*(2018-2010)/(2020-2010)</f>
        <v>17159.4</v>
      </c>
      <c r="U36" s="11" t="n">
        <f aca="false">Population!L36+(Population!V36-Population!L36)*(2019-2010)/(2020-2010)</f>
        <v>17111.7</v>
      </c>
      <c r="V36" s="10" t="n">
        <f aca="false">Population!V36</f>
        <v>17064</v>
      </c>
      <c r="W36" s="11" t="n">
        <f aca="false">Population!V36+(Population!Z36-Population!V36)*(2021-2020)/(2024-2020)</f>
        <v>17243</v>
      </c>
      <c r="X36" s="11" t="n">
        <f aca="false">Population!V36+(Population!Z36-Population!V36)*(2022-2020)/(2024-2020)</f>
        <v>17422</v>
      </c>
      <c r="Y36" s="11" t="n">
        <f aca="false">Population!V36+(Population!Z36-Population!V36)*(2023-2020)/(2024-2020)</f>
        <v>17601</v>
      </c>
      <c r="Z36" s="10" t="n">
        <f aca="false">Population!Z36</f>
        <v>17780</v>
      </c>
      <c r="AA36" s="12"/>
    </row>
    <row r="37" customFormat="false" ht="15" hidden="false" customHeight="false" outlineLevel="0" collapsed="false">
      <c r="A37" s="9" t="str">
        <f aca="false">Population!A37</f>
        <v>Nicholas County</v>
      </c>
      <c r="B37" s="10" t="n">
        <f aca="false">Population!B37</f>
        <v>26562</v>
      </c>
      <c r="C37" s="11" t="n">
        <f aca="false">Population!B37+(Population!L37-Population!B37)*(2001-2000)/(2010-2000)</f>
        <v>26529.1</v>
      </c>
      <c r="D37" s="11" t="n">
        <f aca="false">Population!B37+(Population!L37-Population!B37)*(2002-2000)/(2010-2000)</f>
        <v>26496.2</v>
      </c>
      <c r="E37" s="11" t="n">
        <f aca="false">Population!B37+(Population!L37-Population!B37)*(2003-2000)/(2010-2000)</f>
        <v>26463.3</v>
      </c>
      <c r="F37" s="11" t="n">
        <f aca="false">Population!B37+(Population!L37-Population!B37)*(2004-2000)/(2010-2000)</f>
        <v>26430.4</v>
      </c>
      <c r="G37" s="11" t="n">
        <f aca="false">Population!B37+(Population!L37-Population!B37)*(2005-2000)/(2010-2000)</f>
        <v>26397.5</v>
      </c>
      <c r="H37" s="11" t="n">
        <f aca="false">Population!B37+(Population!L37-Population!B37)*(2006-2000)/(2010-2000)</f>
        <v>26364.6</v>
      </c>
      <c r="I37" s="11" t="n">
        <f aca="false">Population!B37+(Population!L37-Population!B37)*(2007-2000)/(2010-2000)</f>
        <v>26331.7</v>
      </c>
      <c r="J37" s="11" t="n">
        <f aca="false">Population!B37+(Population!L37-Population!B37)*(2008-2000)/(2010-2000)</f>
        <v>26298.8</v>
      </c>
      <c r="K37" s="11" t="n">
        <f aca="false">Population!B37+(Population!L37-Population!B37)*(2009-2000)/(2010-2000)</f>
        <v>26265.9</v>
      </c>
      <c r="L37" s="10" t="n">
        <f aca="false">Population!L37</f>
        <v>26233</v>
      </c>
      <c r="M37" s="11" t="n">
        <f aca="false">Population!L37+(Population!V37-Population!L37)*(2011-2010)/(2020-2010)</f>
        <v>26070.4</v>
      </c>
      <c r="N37" s="11" t="n">
        <f aca="false">Population!L37+(Population!V37-Population!L37)*(2012-2010)/(2020-2010)</f>
        <v>25907.8</v>
      </c>
      <c r="O37" s="11" t="n">
        <f aca="false">Population!L37+(Population!V37-Population!L37)*(2013-2010)/(2020-2010)</f>
        <v>25745.2</v>
      </c>
      <c r="P37" s="11" t="n">
        <f aca="false">Population!L37+(Population!V37-Population!L37)*(2014-2010)/(2020-2010)</f>
        <v>25582.6</v>
      </c>
      <c r="Q37" s="11" t="n">
        <f aca="false">Population!L37+(Population!V37-Population!L37)*(2015-2010)/(2020-2010)</f>
        <v>25420</v>
      </c>
      <c r="R37" s="11" t="n">
        <f aca="false">Population!L37+(Population!V37-Population!L37)*(2016-2010)/(2020-2010)</f>
        <v>25257.4</v>
      </c>
      <c r="S37" s="11" t="n">
        <f aca="false">Population!L37+(Population!V37-Population!L37)*(2017-2010)/(2020-2010)</f>
        <v>25094.8</v>
      </c>
      <c r="T37" s="11" t="n">
        <f aca="false">Population!L37+(Population!V37-Population!L37)*(2018-2010)/(2020-2010)</f>
        <v>24932.2</v>
      </c>
      <c r="U37" s="11" t="n">
        <f aca="false">Population!L37+(Population!V37-Population!L37)*(2019-2010)/(2020-2010)</f>
        <v>24769.6</v>
      </c>
      <c r="V37" s="10" t="n">
        <f aca="false">Population!V37</f>
        <v>24607</v>
      </c>
      <c r="W37" s="11" t="n">
        <f aca="false">Population!V37+(Population!Z37-Population!V37)*(2021-2020)/(2024-2020)</f>
        <v>24459.5</v>
      </c>
      <c r="X37" s="11" t="n">
        <f aca="false">Population!V37+(Population!Z37-Population!V37)*(2022-2020)/(2024-2020)</f>
        <v>24312</v>
      </c>
      <c r="Y37" s="11" t="n">
        <f aca="false">Population!V37+(Population!Z37-Population!V37)*(2023-2020)/(2024-2020)</f>
        <v>24164.5</v>
      </c>
      <c r="Z37" s="10" t="n">
        <f aca="false">Population!Z37</f>
        <v>24017</v>
      </c>
      <c r="AA37" s="12"/>
    </row>
    <row r="38" customFormat="false" ht="15" hidden="false" customHeight="false" outlineLevel="0" collapsed="false">
      <c r="A38" s="9" t="str">
        <f aca="false">Population!A38</f>
        <v>Ohio County</v>
      </c>
      <c r="B38" s="10" t="n">
        <f aca="false">Population!B38</f>
        <v>47427</v>
      </c>
      <c r="C38" s="11" t="n">
        <f aca="false">Population!B38+(Population!L38-Population!B38)*(2001-2000)/(2010-2000)</f>
        <v>47128.6</v>
      </c>
      <c r="D38" s="11" t="n">
        <f aca="false">Population!B38+(Population!L38-Population!B38)*(2002-2000)/(2010-2000)</f>
        <v>46830.2</v>
      </c>
      <c r="E38" s="11" t="n">
        <f aca="false">Population!B38+(Population!L38-Population!B38)*(2003-2000)/(2010-2000)</f>
        <v>46531.8</v>
      </c>
      <c r="F38" s="11" t="n">
        <f aca="false">Population!B38+(Population!L38-Population!B38)*(2004-2000)/(2010-2000)</f>
        <v>46233.4</v>
      </c>
      <c r="G38" s="11" t="n">
        <f aca="false">Population!B38+(Population!L38-Population!B38)*(2005-2000)/(2010-2000)</f>
        <v>45935</v>
      </c>
      <c r="H38" s="11" t="n">
        <f aca="false">Population!B38+(Population!L38-Population!B38)*(2006-2000)/(2010-2000)</f>
        <v>45636.6</v>
      </c>
      <c r="I38" s="11" t="n">
        <f aca="false">Population!B38+(Population!L38-Population!B38)*(2007-2000)/(2010-2000)</f>
        <v>45338.2</v>
      </c>
      <c r="J38" s="11" t="n">
        <f aca="false">Population!B38+(Population!L38-Population!B38)*(2008-2000)/(2010-2000)</f>
        <v>45039.8</v>
      </c>
      <c r="K38" s="11" t="n">
        <f aca="false">Population!B38+(Population!L38-Population!B38)*(2009-2000)/(2010-2000)</f>
        <v>44741.4</v>
      </c>
      <c r="L38" s="10" t="n">
        <f aca="false">Population!L38</f>
        <v>44443</v>
      </c>
      <c r="M38" s="11" t="n">
        <f aca="false">Population!L38+(Population!V38-Population!L38)*(2011-2010)/(2020-2010)</f>
        <v>44239.2</v>
      </c>
      <c r="N38" s="11" t="n">
        <f aca="false">Population!L38+(Population!V38-Population!L38)*(2012-2010)/(2020-2010)</f>
        <v>44035.4</v>
      </c>
      <c r="O38" s="11" t="n">
        <f aca="false">Population!L38+(Population!V38-Population!L38)*(2013-2010)/(2020-2010)</f>
        <v>43831.6</v>
      </c>
      <c r="P38" s="11" t="n">
        <f aca="false">Population!L38+(Population!V38-Population!L38)*(2014-2010)/(2020-2010)</f>
        <v>43627.8</v>
      </c>
      <c r="Q38" s="11" t="n">
        <f aca="false">Population!L38+(Population!V38-Population!L38)*(2015-2010)/(2020-2010)</f>
        <v>43424</v>
      </c>
      <c r="R38" s="11" t="n">
        <f aca="false">Population!L38+(Population!V38-Population!L38)*(2016-2010)/(2020-2010)</f>
        <v>43220.2</v>
      </c>
      <c r="S38" s="11" t="n">
        <f aca="false">Population!L38+(Population!V38-Population!L38)*(2017-2010)/(2020-2010)</f>
        <v>43016.4</v>
      </c>
      <c r="T38" s="11" t="n">
        <f aca="false">Population!L38+(Population!V38-Population!L38)*(2018-2010)/(2020-2010)</f>
        <v>42812.6</v>
      </c>
      <c r="U38" s="11" t="n">
        <f aca="false">Population!L38+(Population!V38-Population!L38)*(2019-2010)/(2020-2010)</f>
        <v>42608.8</v>
      </c>
      <c r="V38" s="10" t="n">
        <f aca="false">Population!V38</f>
        <v>42405</v>
      </c>
      <c r="W38" s="11" t="n">
        <f aca="false">Population!V38+(Population!Z38-Population!V38)*(2021-2020)/(2024-2020)</f>
        <v>42076.25</v>
      </c>
      <c r="X38" s="11" t="n">
        <f aca="false">Population!V38+(Population!Z38-Population!V38)*(2022-2020)/(2024-2020)</f>
        <v>41747.5</v>
      </c>
      <c r="Y38" s="11" t="n">
        <f aca="false">Population!V38+(Population!Z38-Population!V38)*(2023-2020)/(2024-2020)</f>
        <v>41418.75</v>
      </c>
      <c r="Z38" s="10" t="n">
        <f aca="false">Population!Z38</f>
        <v>41090</v>
      </c>
      <c r="AA38" s="12"/>
    </row>
    <row r="39" customFormat="false" ht="15" hidden="false" customHeight="false" outlineLevel="0" collapsed="false">
      <c r="A39" s="9" t="str">
        <f aca="false">Population!A39</f>
        <v>Pendleton County</v>
      </c>
      <c r="B39" s="10" t="n">
        <f aca="false">Population!B39</f>
        <v>8196</v>
      </c>
      <c r="C39" s="11" t="n">
        <f aca="false">Population!B39+(Population!L39-Population!B39)*(2001-2000)/(2010-2000)</f>
        <v>8145.9</v>
      </c>
      <c r="D39" s="11" t="n">
        <f aca="false">Population!B39+(Population!L39-Population!B39)*(2002-2000)/(2010-2000)</f>
        <v>8095.8</v>
      </c>
      <c r="E39" s="11" t="n">
        <f aca="false">Population!B39+(Population!L39-Population!B39)*(2003-2000)/(2010-2000)</f>
        <v>8045.7</v>
      </c>
      <c r="F39" s="11" t="n">
        <f aca="false">Population!B39+(Population!L39-Population!B39)*(2004-2000)/(2010-2000)</f>
        <v>7995.6</v>
      </c>
      <c r="G39" s="11" t="n">
        <f aca="false">Population!B39+(Population!L39-Population!B39)*(2005-2000)/(2010-2000)</f>
        <v>7945.5</v>
      </c>
      <c r="H39" s="11" t="n">
        <f aca="false">Population!B39+(Population!L39-Population!B39)*(2006-2000)/(2010-2000)</f>
        <v>7895.4</v>
      </c>
      <c r="I39" s="11" t="n">
        <f aca="false">Population!B39+(Population!L39-Population!B39)*(2007-2000)/(2010-2000)</f>
        <v>7845.3</v>
      </c>
      <c r="J39" s="11" t="n">
        <f aca="false">Population!B39+(Population!L39-Population!B39)*(2008-2000)/(2010-2000)</f>
        <v>7795.2</v>
      </c>
      <c r="K39" s="11" t="n">
        <f aca="false">Population!B39+(Population!L39-Population!B39)*(2009-2000)/(2010-2000)</f>
        <v>7745.1</v>
      </c>
      <c r="L39" s="10" t="n">
        <f aca="false">Population!L39</f>
        <v>7695</v>
      </c>
      <c r="M39" s="11" t="n">
        <f aca="false">Population!L39+(Population!V39-Population!L39)*(2011-2010)/(2020-2010)</f>
        <v>7539.6</v>
      </c>
      <c r="N39" s="11" t="n">
        <f aca="false">Population!L39+(Population!V39-Population!L39)*(2012-2010)/(2020-2010)</f>
        <v>7384.2</v>
      </c>
      <c r="O39" s="11" t="n">
        <f aca="false">Population!L39+(Population!V39-Population!L39)*(2013-2010)/(2020-2010)</f>
        <v>7228.8</v>
      </c>
      <c r="P39" s="11" t="n">
        <f aca="false">Population!L39+(Population!V39-Population!L39)*(2014-2010)/(2020-2010)</f>
        <v>7073.4</v>
      </c>
      <c r="Q39" s="11" t="n">
        <f aca="false">Population!L39+(Population!V39-Population!L39)*(2015-2010)/(2020-2010)</f>
        <v>6918</v>
      </c>
      <c r="R39" s="11" t="n">
        <f aca="false">Population!L39+(Population!V39-Population!L39)*(2016-2010)/(2020-2010)</f>
        <v>6762.6</v>
      </c>
      <c r="S39" s="11" t="n">
        <f aca="false">Population!L39+(Population!V39-Population!L39)*(2017-2010)/(2020-2010)</f>
        <v>6607.2</v>
      </c>
      <c r="T39" s="11" t="n">
        <f aca="false">Population!L39+(Population!V39-Population!L39)*(2018-2010)/(2020-2010)</f>
        <v>6451.8</v>
      </c>
      <c r="U39" s="11" t="n">
        <f aca="false">Population!L39+(Population!V39-Population!L39)*(2019-2010)/(2020-2010)</f>
        <v>6296.4</v>
      </c>
      <c r="V39" s="10" t="n">
        <f aca="false">Population!V39</f>
        <v>6141</v>
      </c>
      <c r="W39" s="11" t="n">
        <f aca="false">Population!V39+(Population!Z39-Population!V39)*(2021-2020)/(2024-2020)</f>
        <v>6091.75</v>
      </c>
      <c r="X39" s="11" t="n">
        <f aca="false">Population!V39+(Population!Z39-Population!V39)*(2022-2020)/(2024-2020)</f>
        <v>6042.5</v>
      </c>
      <c r="Y39" s="11" t="n">
        <f aca="false">Population!V39+(Population!Z39-Population!V39)*(2023-2020)/(2024-2020)</f>
        <v>5993.25</v>
      </c>
      <c r="Z39" s="10" t="n">
        <f aca="false">Population!Z39</f>
        <v>5944</v>
      </c>
      <c r="AA39" s="12"/>
    </row>
    <row r="40" customFormat="false" ht="15" hidden="false" customHeight="false" outlineLevel="0" collapsed="false">
      <c r="A40" s="9" t="str">
        <f aca="false">Population!A40</f>
        <v>Pleasants County</v>
      </c>
      <c r="B40" s="10" t="n">
        <f aca="false">Population!B40</f>
        <v>7514</v>
      </c>
      <c r="C40" s="11" t="n">
        <f aca="false">Population!B40+(Population!L40-Population!B40)*(2001-2000)/(2010-2000)</f>
        <v>7523.1</v>
      </c>
      <c r="D40" s="11" t="n">
        <f aca="false">Population!B40+(Population!L40-Population!B40)*(2002-2000)/(2010-2000)</f>
        <v>7532.2</v>
      </c>
      <c r="E40" s="11" t="n">
        <f aca="false">Population!B40+(Population!L40-Population!B40)*(2003-2000)/(2010-2000)</f>
        <v>7541.3</v>
      </c>
      <c r="F40" s="11" t="n">
        <f aca="false">Population!B40+(Population!L40-Population!B40)*(2004-2000)/(2010-2000)</f>
        <v>7550.4</v>
      </c>
      <c r="G40" s="11" t="n">
        <f aca="false">Population!B40+(Population!L40-Population!B40)*(2005-2000)/(2010-2000)</f>
        <v>7559.5</v>
      </c>
      <c r="H40" s="11" t="n">
        <f aca="false">Population!B40+(Population!L40-Population!B40)*(2006-2000)/(2010-2000)</f>
        <v>7568.6</v>
      </c>
      <c r="I40" s="11" t="n">
        <f aca="false">Population!B40+(Population!L40-Population!B40)*(2007-2000)/(2010-2000)</f>
        <v>7577.7</v>
      </c>
      <c r="J40" s="11" t="n">
        <f aca="false">Population!B40+(Population!L40-Population!B40)*(2008-2000)/(2010-2000)</f>
        <v>7586.8</v>
      </c>
      <c r="K40" s="11" t="n">
        <f aca="false">Population!B40+(Population!L40-Population!B40)*(2009-2000)/(2010-2000)</f>
        <v>7595.9</v>
      </c>
      <c r="L40" s="10" t="n">
        <f aca="false">Population!L40</f>
        <v>7605</v>
      </c>
      <c r="M40" s="11" t="n">
        <f aca="false">Population!L40+(Population!V40-Population!L40)*(2011-2010)/(2020-2010)</f>
        <v>7609.8</v>
      </c>
      <c r="N40" s="11" t="n">
        <f aca="false">Population!L40+(Population!V40-Population!L40)*(2012-2010)/(2020-2010)</f>
        <v>7614.6</v>
      </c>
      <c r="O40" s="11" t="n">
        <f aca="false">Population!L40+(Population!V40-Population!L40)*(2013-2010)/(2020-2010)</f>
        <v>7619.4</v>
      </c>
      <c r="P40" s="11" t="n">
        <f aca="false">Population!L40+(Population!V40-Population!L40)*(2014-2010)/(2020-2010)</f>
        <v>7624.2</v>
      </c>
      <c r="Q40" s="11" t="n">
        <f aca="false">Population!L40+(Population!V40-Population!L40)*(2015-2010)/(2020-2010)</f>
        <v>7629</v>
      </c>
      <c r="R40" s="11" t="n">
        <f aca="false">Population!L40+(Population!V40-Population!L40)*(2016-2010)/(2020-2010)</f>
        <v>7633.8</v>
      </c>
      <c r="S40" s="11" t="n">
        <f aca="false">Population!L40+(Population!V40-Population!L40)*(2017-2010)/(2020-2010)</f>
        <v>7638.6</v>
      </c>
      <c r="T40" s="11" t="n">
        <f aca="false">Population!L40+(Population!V40-Population!L40)*(2018-2010)/(2020-2010)</f>
        <v>7643.4</v>
      </c>
      <c r="U40" s="11" t="n">
        <f aca="false">Population!L40+(Population!V40-Population!L40)*(2019-2010)/(2020-2010)</f>
        <v>7648.2</v>
      </c>
      <c r="V40" s="10" t="n">
        <f aca="false">Population!V40</f>
        <v>7653</v>
      </c>
      <c r="W40" s="11" t="n">
        <f aca="false">Population!V40+(Population!Z40-Population!V40)*(2021-2020)/(2024-2020)</f>
        <v>7579.25</v>
      </c>
      <c r="X40" s="11" t="n">
        <f aca="false">Population!V40+(Population!Z40-Population!V40)*(2022-2020)/(2024-2020)</f>
        <v>7505.5</v>
      </c>
      <c r="Y40" s="11" t="n">
        <f aca="false">Population!V40+(Population!Z40-Population!V40)*(2023-2020)/(2024-2020)</f>
        <v>7431.75</v>
      </c>
      <c r="Z40" s="10" t="n">
        <f aca="false">Population!Z40</f>
        <v>7358</v>
      </c>
      <c r="AA40" s="12"/>
    </row>
    <row r="41" customFormat="false" ht="15" hidden="false" customHeight="false" outlineLevel="0" collapsed="false">
      <c r="A41" s="9" t="str">
        <f aca="false">Population!A41</f>
        <v>Pocahontas County</v>
      </c>
      <c r="B41" s="10" t="n">
        <f aca="false">Population!B41</f>
        <v>9131</v>
      </c>
      <c r="C41" s="11" t="n">
        <f aca="false">Population!B41+(Population!L41-Population!B41)*(2001-2000)/(2010-2000)</f>
        <v>9089.8</v>
      </c>
      <c r="D41" s="11" t="n">
        <f aca="false">Population!B41+(Population!L41-Population!B41)*(2002-2000)/(2010-2000)</f>
        <v>9048.6</v>
      </c>
      <c r="E41" s="11" t="n">
        <f aca="false">Population!B41+(Population!L41-Population!B41)*(2003-2000)/(2010-2000)</f>
        <v>9007.4</v>
      </c>
      <c r="F41" s="11" t="n">
        <f aca="false">Population!B41+(Population!L41-Population!B41)*(2004-2000)/(2010-2000)</f>
        <v>8966.2</v>
      </c>
      <c r="G41" s="11" t="n">
        <f aca="false">Population!B41+(Population!L41-Population!B41)*(2005-2000)/(2010-2000)</f>
        <v>8925</v>
      </c>
      <c r="H41" s="11" t="n">
        <f aca="false">Population!B41+(Population!L41-Population!B41)*(2006-2000)/(2010-2000)</f>
        <v>8883.8</v>
      </c>
      <c r="I41" s="11" t="n">
        <f aca="false">Population!B41+(Population!L41-Population!B41)*(2007-2000)/(2010-2000)</f>
        <v>8842.6</v>
      </c>
      <c r="J41" s="11" t="n">
        <f aca="false">Population!B41+(Population!L41-Population!B41)*(2008-2000)/(2010-2000)</f>
        <v>8801.4</v>
      </c>
      <c r="K41" s="11" t="n">
        <f aca="false">Population!B41+(Population!L41-Population!B41)*(2009-2000)/(2010-2000)</f>
        <v>8760.2</v>
      </c>
      <c r="L41" s="10" t="n">
        <f aca="false">Population!L41</f>
        <v>8719</v>
      </c>
      <c r="M41" s="11" t="n">
        <f aca="false">Population!L41+(Population!V41-Population!L41)*(2011-2010)/(2020-2010)</f>
        <v>8634.4</v>
      </c>
      <c r="N41" s="11" t="n">
        <f aca="false">Population!L41+(Population!V41-Population!L41)*(2012-2010)/(2020-2010)</f>
        <v>8549.8</v>
      </c>
      <c r="O41" s="11" t="n">
        <f aca="false">Population!L41+(Population!V41-Population!L41)*(2013-2010)/(2020-2010)</f>
        <v>8465.2</v>
      </c>
      <c r="P41" s="11" t="n">
        <f aca="false">Population!L41+(Population!V41-Population!L41)*(2014-2010)/(2020-2010)</f>
        <v>8380.6</v>
      </c>
      <c r="Q41" s="11" t="n">
        <f aca="false">Population!L41+(Population!V41-Population!L41)*(2015-2010)/(2020-2010)</f>
        <v>8296</v>
      </c>
      <c r="R41" s="11" t="n">
        <f aca="false">Population!L41+(Population!V41-Population!L41)*(2016-2010)/(2020-2010)</f>
        <v>8211.4</v>
      </c>
      <c r="S41" s="11" t="n">
        <f aca="false">Population!L41+(Population!V41-Population!L41)*(2017-2010)/(2020-2010)</f>
        <v>8126.8</v>
      </c>
      <c r="T41" s="11" t="n">
        <f aca="false">Population!L41+(Population!V41-Population!L41)*(2018-2010)/(2020-2010)</f>
        <v>8042.2</v>
      </c>
      <c r="U41" s="11" t="n">
        <f aca="false">Population!L41+(Population!V41-Population!L41)*(2019-2010)/(2020-2010)</f>
        <v>7957.6</v>
      </c>
      <c r="V41" s="10" t="n">
        <f aca="false">Population!V41</f>
        <v>7873</v>
      </c>
      <c r="W41" s="11" t="n">
        <f aca="false">Population!V41+(Population!Z41-Population!V41)*(2021-2020)/(2024-2020)</f>
        <v>7818</v>
      </c>
      <c r="X41" s="11" t="n">
        <f aca="false">Population!V41+(Population!Z41-Population!V41)*(2022-2020)/(2024-2020)</f>
        <v>7763</v>
      </c>
      <c r="Y41" s="11" t="n">
        <f aca="false">Population!V41+(Population!Z41-Population!V41)*(2023-2020)/(2024-2020)</f>
        <v>7708</v>
      </c>
      <c r="Z41" s="10" t="n">
        <f aca="false">Population!Z41</f>
        <v>7653</v>
      </c>
      <c r="AA41" s="12"/>
    </row>
    <row r="42" customFormat="false" ht="15" hidden="false" customHeight="false" outlineLevel="0" collapsed="false">
      <c r="A42" s="9" t="str">
        <f aca="false">Population!A42</f>
        <v>Preston County</v>
      </c>
      <c r="B42" s="10" t="n">
        <f aca="false">Population!B42</f>
        <v>29334</v>
      </c>
      <c r="C42" s="11" t="n">
        <f aca="false">Population!B42+(Population!L42-Population!B42)*(2001-2000)/(2010-2000)</f>
        <v>29752.6</v>
      </c>
      <c r="D42" s="11" t="n">
        <f aca="false">Population!B42+(Population!L42-Population!B42)*(2002-2000)/(2010-2000)</f>
        <v>30171.2</v>
      </c>
      <c r="E42" s="11" t="n">
        <f aca="false">Population!B42+(Population!L42-Population!B42)*(2003-2000)/(2010-2000)</f>
        <v>30589.8</v>
      </c>
      <c r="F42" s="11" t="n">
        <f aca="false">Population!B42+(Population!L42-Population!B42)*(2004-2000)/(2010-2000)</f>
        <v>31008.4</v>
      </c>
      <c r="G42" s="11" t="n">
        <f aca="false">Population!B42+(Population!L42-Population!B42)*(2005-2000)/(2010-2000)</f>
        <v>31427</v>
      </c>
      <c r="H42" s="11" t="n">
        <f aca="false">Population!B42+(Population!L42-Population!B42)*(2006-2000)/(2010-2000)</f>
        <v>31845.6</v>
      </c>
      <c r="I42" s="11" t="n">
        <f aca="false">Population!B42+(Population!L42-Population!B42)*(2007-2000)/(2010-2000)</f>
        <v>32264.2</v>
      </c>
      <c r="J42" s="11" t="n">
        <f aca="false">Population!B42+(Population!L42-Population!B42)*(2008-2000)/(2010-2000)</f>
        <v>32682.8</v>
      </c>
      <c r="K42" s="11" t="n">
        <f aca="false">Population!B42+(Population!L42-Population!B42)*(2009-2000)/(2010-2000)</f>
        <v>33101.4</v>
      </c>
      <c r="L42" s="10" t="n">
        <f aca="false">Population!L42</f>
        <v>33520</v>
      </c>
      <c r="M42" s="11" t="n">
        <f aca="false">Population!L42+(Population!V42-Population!L42)*(2011-2010)/(2020-2010)</f>
        <v>33589.5</v>
      </c>
      <c r="N42" s="11" t="n">
        <f aca="false">Population!L42+(Population!V42-Population!L42)*(2012-2010)/(2020-2010)</f>
        <v>33659</v>
      </c>
      <c r="O42" s="11" t="n">
        <f aca="false">Population!L42+(Population!V42-Population!L42)*(2013-2010)/(2020-2010)</f>
        <v>33728.5</v>
      </c>
      <c r="P42" s="11" t="n">
        <f aca="false">Population!L42+(Population!V42-Population!L42)*(2014-2010)/(2020-2010)</f>
        <v>33798</v>
      </c>
      <c r="Q42" s="11" t="n">
        <f aca="false">Population!L42+(Population!V42-Population!L42)*(2015-2010)/(2020-2010)</f>
        <v>33867.5</v>
      </c>
      <c r="R42" s="11" t="n">
        <f aca="false">Population!L42+(Population!V42-Population!L42)*(2016-2010)/(2020-2010)</f>
        <v>33937</v>
      </c>
      <c r="S42" s="11" t="n">
        <f aca="false">Population!L42+(Population!V42-Population!L42)*(2017-2010)/(2020-2010)</f>
        <v>34006.5</v>
      </c>
      <c r="T42" s="11" t="n">
        <f aca="false">Population!L42+(Population!V42-Population!L42)*(2018-2010)/(2020-2010)</f>
        <v>34076</v>
      </c>
      <c r="U42" s="11" t="n">
        <f aca="false">Population!L42+(Population!V42-Population!L42)*(2019-2010)/(2020-2010)</f>
        <v>34145.5</v>
      </c>
      <c r="V42" s="10" t="n">
        <f aca="false">Population!V42</f>
        <v>34215</v>
      </c>
      <c r="W42" s="11" t="n">
        <f aca="false">Population!V42+(Population!Z42-Population!V42)*(2021-2020)/(2024-2020)</f>
        <v>34175</v>
      </c>
      <c r="X42" s="11" t="n">
        <f aca="false">Population!V42+(Population!Z42-Population!V42)*(2022-2020)/(2024-2020)</f>
        <v>34135</v>
      </c>
      <c r="Y42" s="11" t="n">
        <f aca="false">Population!V42+(Population!Z42-Population!V42)*(2023-2020)/(2024-2020)</f>
        <v>34095</v>
      </c>
      <c r="Z42" s="10" t="n">
        <f aca="false">Population!Z42</f>
        <v>34055</v>
      </c>
      <c r="AA42" s="12"/>
    </row>
    <row r="43" customFormat="false" ht="15" hidden="false" customHeight="false" outlineLevel="0" collapsed="false">
      <c r="A43" s="9" t="str">
        <f aca="false">Population!A43</f>
        <v>Putnam County</v>
      </c>
      <c r="B43" s="10" t="n">
        <f aca="false">Population!B43</f>
        <v>51589</v>
      </c>
      <c r="C43" s="11" t="n">
        <f aca="false">Population!B43+(Population!L43-Population!B43)*(2001-2000)/(2010-2000)</f>
        <v>51978.7</v>
      </c>
      <c r="D43" s="11" t="n">
        <f aca="false">Population!B43+(Population!L43-Population!B43)*(2002-2000)/(2010-2000)</f>
        <v>52368.4</v>
      </c>
      <c r="E43" s="11" t="n">
        <f aca="false">Population!B43+(Population!L43-Population!B43)*(2003-2000)/(2010-2000)</f>
        <v>52758.1</v>
      </c>
      <c r="F43" s="11" t="n">
        <f aca="false">Population!B43+(Population!L43-Population!B43)*(2004-2000)/(2010-2000)</f>
        <v>53147.8</v>
      </c>
      <c r="G43" s="11" t="n">
        <f aca="false">Population!B43+(Population!L43-Population!B43)*(2005-2000)/(2010-2000)</f>
        <v>53537.5</v>
      </c>
      <c r="H43" s="11" t="n">
        <f aca="false">Population!B43+(Population!L43-Population!B43)*(2006-2000)/(2010-2000)</f>
        <v>53927.2</v>
      </c>
      <c r="I43" s="11" t="n">
        <f aca="false">Population!B43+(Population!L43-Population!B43)*(2007-2000)/(2010-2000)</f>
        <v>54316.9</v>
      </c>
      <c r="J43" s="11" t="n">
        <f aca="false">Population!B43+(Population!L43-Population!B43)*(2008-2000)/(2010-2000)</f>
        <v>54706.6</v>
      </c>
      <c r="K43" s="11" t="n">
        <f aca="false">Population!B43+(Population!L43-Population!B43)*(2009-2000)/(2010-2000)</f>
        <v>55096.3</v>
      </c>
      <c r="L43" s="10" t="n">
        <f aca="false">Population!L43</f>
        <v>55486</v>
      </c>
      <c r="M43" s="11" t="n">
        <f aca="false">Population!L43+(Population!V43-Population!L43)*(2011-2010)/(2020-2010)</f>
        <v>55681</v>
      </c>
      <c r="N43" s="11" t="n">
        <f aca="false">Population!L43+(Population!V43-Population!L43)*(2012-2010)/(2020-2010)</f>
        <v>55876</v>
      </c>
      <c r="O43" s="11" t="n">
        <f aca="false">Population!L43+(Population!V43-Population!L43)*(2013-2010)/(2020-2010)</f>
        <v>56071</v>
      </c>
      <c r="P43" s="11" t="n">
        <f aca="false">Population!L43+(Population!V43-Population!L43)*(2014-2010)/(2020-2010)</f>
        <v>56266</v>
      </c>
      <c r="Q43" s="11" t="n">
        <f aca="false">Population!L43+(Population!V43-Population!L43)*(2015-2010)/(2020-2010)</f>
        <v>56461</v>
      </c>
      <c r="R43" s="11" t="n">
        <f aca="false">Population!L43+(Population!V43-Population!L43)*(2016-2010)/(2020-2010)</f>
        <v>56656</v>
      </c>
      <c r="S43" s="11" t="n">
        <f aca="false">Population!L43+(Population!V43-Population!L43)*(2017-2010)/(2020-2010)</f>
        <v>56851</v>
      </c>
      <c r="T43" s="11" t="n">
        <f aca="false">Population!L43+(Population!V43-Population!L43)*(2018-2010)/(2020-2010)</f>
        <v>57046</v>
      </c>
      <c r="U43" s="11" t="n">
        <f aca="false">Population!L43+(Population!V43-Population!L43)*(2019-2010)/(2020-2010)</f>
        <v>57241</v>
      </c>
      <c r="V43" s="10" t="n">
        <f aca="false">Population!V43</f>
        <v>57436</v>
      </c>
      <c r="W43" s="11" t="n">
        <f aca="false">Population!V43+(Population!Z43-Population!V43)*(2021-2020)/(2024-2020)</f>
        <v>57343.75</v>
      </c>
      <c r="X43" s="11" t="n">
        <f aca="false">Population!V43+(Population!Z43-Population!V43)*(2022-2020)/(2024-2020)</f>
        <v>57251.5</v>
      </c>
      <c r="Y43" s="11" t="n">
        <f aca="false">Population!V43+(Population!Z43-Population!V43)*(2023-2020)/(2024-2020)</f>
        <v>57159.25</v>
      </c>
      <c r="Z43" s="10" t="n">
        <f aca="false">Population!Z43</f>
        <v>57067</v>
      </c>
      <c r="AA43" s="12"/>
    </row>
    <row r="44" customFormat="false" ht="15" hidden="false" customHeight="false" outlineLevel="0" collapsed="false">
      <c r="A44" s="9" t="str">
        <f aca="false">Population!A44</f>
        <v>Raleigh County</v>
      </c>
      <c r="B44" s="10" t="n">
        <f aca="false">Population!B44</f>
        <v>79220</v>
      </c>
      <c r="C44" s="11" t="n">
        <f aca="false">Population!B44+(Population!L44-Population!B44)*(2001-2000)/(2010-2000)</f>
        <v>79183.9</v>
      </c>
      <c r="D44" s="11" t="n">
        <f aca="false">Population!B44+(Population!L44-Population!B44)*(2002-2000)/(2010-2000)</f>
        <v>79147.8</v>
      </c>
      <c r="E44" s="11" t="n">
        <f aca="false">Population!B44+(Population!L44-Population!B44)*(2003-2000)/(2010-2000)</f>
        <v>79111.7</v>
      </c>
      <c r="F44" s="11" t="n">
        <f aca="false">Population!B44+(Population!L44-Population!B44)*(2004-2000)/(2010-2000)</f>
        <v>79075.6</v>
      </c>
      <c r="G44" s="11" t="n">
        <f aca="false">Population!B44+(Population!L44-Population!B44)*(2005-2000)/(2010-2000)</f>
        <v>79039.5</v>
      </c>
      <c r="H44" s="11" t="n">
        <f aca="false">Population!B44+(Population!L44-Population!B44)*(2006-2000)/(2010-2000)</f>
        <v>79003.4</v>
      </c>
      <c r="I44" s="11" t="n">
        <f aca="false">Population!B44+(Population!L44-Population!B44)*(2007-2000)/(2010-2000)</f>
        <v>78967.3</v>
      </c>
      <c r="J44" s="11" t="n">
        <f aca="false">Population!B44+(Population!L44-Population!B44)*(2008-2000)/(2010-2000)</f>
        <v>78931.2</v>
      </c>
      <c r="K44" s="11" t="n">
        <f aca="false">Population!B44+(Population!L44-Population!B44)*(2009-2000)/(2010-2000)</f>
        <v>78895.1</v>
      </c>
      <c r="L44" s="10" t="n">
        <f aca="false">Population!L44</f>
        <v>78859</v>
      </c>
      <c r="M44" s="11" t="n">
        <f aca="false">Population!L44+(Population!V44-Population!L44)*(2011-2010)/(2020-2010)</f>
        <v>78432.3</v>
      </c>
      <c r="N44" s="11" t="n">
        <f aca="false">Population!L44+(Population!V44-Population!L44)*(2012-2010)/(2020-2010)</f>
        <v>78005.6</v>
      </c>
      <c r="O44" s="11" t="n">
        <f aca="false">Population!L44+(Population!V44-Population!L44)*(2013-2010)/(2020-2010)</f>
        <v>77578.9</v>
      </c>
      <c r="P44" s="11" t="n">
        <f aca="false">Population!L44+(Population!V44-Population!L44)*(2014-2010)/(2020-2010)</f>
        <v>77152.2</v>
      </c>
      <c r="Q44" s="11" t="n">
        <f aca="false">Population!L44+(Population!V44-Population!L44)*(2015-2010)/(2020-2010)</f>
        <v>76725.5</v>
      </c>
      <c r="R44" s="11" t="n">
        <f aca="false">Population!L44+(Population!V44-Population!L44)*(2016-2010)/(2020-2010)</f>
        <v>76298.8</v>
      </c>
      <c r="S44" s="11" t="n">
        <f aca="false">Population!L44+(Population!V44-Population!L44)*(2017-2010)/(2020-2010)</f>
        <v>75872.1</v>
      </c>
      <c r="T44" s="11" t="n">
        <f aca="false">Population!L44+(Population!V44-Population!L44)*(2018-2010)/(2020-2010)</f>
        <v>75445.4</v>
      </c>
      <c r="U44" s="11" t="n">
        <f aca="false">Population!L44+(Population!V44-Population!L44)*(2019-2010)/(2020-2010)</f>
        <v>75018.7</v>
      </c>
      <c r="V44" s="10" t="n">
        <f aca="false">Population!V44</f>
        <v>74592</v>
      </c>
      <c r="W44" s="11" t="n">
        <f aca="false">Population!V44+(Population!Z44-Population!V44)*(2021-2020)/(2024-2020)</f>
        <v>74038.75</v>
      </c>
      <c r="X44" s="11" t="n">
        <f aca="false">Population!V44+(Population!Z44-Population!V44)*(2022-2020)/(2024-2020)</f>
        <v>73485.5</v>
      </c>
      <c r="Y44" s="11" t="n">
        <f aca="false">Population!V44+(Population!Z44-Population!V44)*(2023-2020)/(2024-2020)</f>
        <v>72932.25</v>
      </c>
      <c r="Z44" s="10" t="n">
        <f aca="false">Population!Z44</f>
        <v>72379</v>
      </c>
      <c r="AA44" s="12"/>
    </row>
    <row r="45" customFormat="false" ht="15" hidden="false" customHeight="false" outlineLevel="0" collapsed="false">
      <c r="A45" s="9" t="str">
        <f aca="false">Population!A45</f>
        <v>Randolph County</v>
      </c>
      <c r="B45" s="10" t="n">
        <f aca="false">Population!B45</f>
        <v>28262</v>
      </c>
      <c r="C45" s="11" t="n">
        <f aca="false">Population!B45+(Population!L45-Population!B45)*(2001-2000)/(2010-2000)</f>
        <v>28376.3</v>
      </c>
      <c r="D45" s="11" t="n">
        <f aca="false">Population!B45+(Population!L45-Population!B45)*(2002-2000)/(2010-2000)</f>
        <v>28490.6</v>
      </c>
      <c r="E45" s="11" t="n">
        <f aca="false">Population!B45+(Population!L45-Population!B45)*(2003-2000)/(2010-2000)</f>
        <v>28604.9</v>
      </c>
      <c r="F45" s="11" t="n">
        <f aca="false">Population!B45+(Population!L45-Population!B45)*(2004-2000)/(2010-2000)</f>
        <v>28719.2</v>
      </c>
      <c r="G45" s="11" t="n">
        <f aca="false">Population!B45+(Population!L45-Population!B45)*(2005-2000)/(2010-2000)</f>
        <v>28833.5</v>
      </c>
      <c r="H45" s="11" t="n">
        <f aca="false">Population!B45+(Population!L45-Population!B45)*(2006-2000)/(2010-2000)</f>
        <v>28947.8</v>
      </c>
      <c r="I45" s="11" t="n">
        <f aca="false">Population!B45+(Population!L45-Population!B45)*(2007-2000)/(2010-2000)</f>
        <v>29062.1</v>
      </c>
      <c r="J45" s="11" t="n">
        <f aca="false">Population!B45+(Population!L45-Population!B45)*(2008-2000)/(2010-2000)</f>
        <v>29176.4</v>
      </c>
      <c r="K45" s="11" t="n">
        <f aca="false">Population!B45+(Population!L45-Population!B45)*(2009-2000)/(2010-2000)</f>
        <v>29290.7</v>
      </c>
      <c r="L45" s="10" t="n">
        <f aca="false">Population!L45</f>
        <v>29405</v>
      </c>
      <c r="M45" s="11" t="n">
        <f aca="false">Population!L45+(Population!V45-Population!L45)*(2011-2010)/(2020-2010)</f>
        <v>29257.7</v>
      </c>
      <c r="N45" s="11" t="n">
        <f aca="false">Population!L45+(Population!V45-Population!L45)*(2012-2010)/(2020-2010)</f>
        <v>29110.4</v>
      </c>
      <c r="O45" s="11" t="n">
        <f aca="false">Population!L45+(Population!V45-Population!L45)*(2013-2010)/(2020-2010)</f>
        <v>28963.1</v>
      </c>
      <c r="P45" s="11" t="n">
        <f aca="false">Population!L45+(Population!V45-Population!L45)*(2014-2010)/(2020-2010)</f>
        <v>28815.8</v>
      </c>
      <c r="Q45" s="11" t="n">
        <f aca="false">Population!L45+(Population!V45-Population!L45)*(2015-2010)/(2020-2010)</f>
        <v>28668.5</v>
      </c>
      <c r="R45" s="11" t="n">
        <f aca="false">Population!L45+(Population!V45-Population!L45)*(2016-2010)/(2020-2010)</f>
        <v>28521.2</v>
      </c>
      <c r="S45" s="11" t="n">
        <f aca="false">Population!L45+(Population!V45-Population!L45)*(2017-2010)/(2020-2010)</f>
        <v>28373.9</v>
      </c>
      <c r="T45" s="11" t="n">
        <f aca="false">Population!L45+(Population!V45-Population!L45)*(2018-2010)/(2020-2010)</f>
        <v>28226.6</v>
      </c>
      <c r="U45" s="11" t="n">
        <f aca="false">Population!L45+(Population!V45-Population!L45)*(2019-2010)/(2020-2010)</f>
        <v>28079.3</v>
      </c>
      <c r="V45" s="10" t="n">
        <f aca="false">Population!V45</f>
        <v>27932</v>
      </c>
      <c r="W45" s="11" t="n">
        <f aca="false">Population!V45+(Population!Z45-Population!V45)*(2021-2020)/(2024-2020)</f>
        <v>27746.5</v>
      </c>
      <c r="X45" s="11" t="n">
        <f aca="false">Population!V45+(Population!Z45-Population!V45)*(2022-2020)/(2024-2020)</f>
        <v>27561</v>
      </c>
      <c r="Y45" s="11" t="n">
        <f aca="false">Population!V45+(Population!Z45-Population!V45)*(2023-2020)/(2024-2020)</f>
        <v>27375.5</v>
      </c>
      <c r="Z45" s="10" t="n">
        <f aca="false">Population!Z45</f>
        <v>27190</v>
      </c>
      <c r="AA45" s="12"/>
    </row>
    <row r="46" customFormat="false" ht="15" hidden="false" customHeight="false" outlineLevel="0" collapsed="false">
      <c r="A46" s="9" t="str">
        <f aca="false">Population!A46</f>
        <v>Ritchie County</v>
      </c>
      <c r="B46" s="10" t="n">
        <f aca="false">Population!B46</f>
        <v>10343</v>
      </c>
      <c r="C46" s="11" t="n">
        <f aca="false">Population!B46+(Population!L46-Population!B46)*(2001-2000)/(2010-2000)</f>
        <v>10353.6</v>
      </c>
      <c r="D46" s="11" t="n">
        <f aca="false">Population!B46+(Population!L46-Population!B46)*(2002-2000)/(2010-2000)</f>
        <v>10364.2</v>
      </c>
      <c r="E46" s="11" t="n">
        <f aca="false">Population!B46+(Population!L46-Population!B46)*(2003-2000)/(2010-2000)</f>
        <v>10374.8</v>
      </c>
      <c r="F46" s="11" t="n">
        <f aca="false">Population!B46+(Population!L46-Population!B46)*(2004-2000)/(2010-2000)</f>
        <v>10385.4</v>
      </c>
      <c r="G46" s="11" t="n">
        <f aca="false">Population!B46+(Population!L46-Population!B46)*(2005-2000)/(2010-2000)</f>
        <v>10396</v>
      </c>
      <c r="H46" s="11" t="n">
        <f aca="false">Population!B46+(Population!L46-Population!B46)*(2006-2000)/(2010-2000)</f>
        <v>10406.6</v>
      </c>
      <c r="I46" s="11" t="n">
        <f aca="false">Population!B46+(Population!L46-Population!B46)*(2007-2000)/(2010-2000)</f>
        <v>10417.2</v>
      </c>
      <c r="J46" s="11" t="n">
        <f aca="false">Population!B46+(Population!L46-Population!B46)*(2008-2000)/(2010-2000)</f>
        <v>10427.8</v>
      </c>
      <c r="K46" s="11" t="n">
        <f aca="false">Population!B46+(Population!L46-Population!B46)*(2009-2000)/(2010-2000)</f>
        <v>10438.4</v>
      </c>
      <c r="L46" s="10" t="n">
        <f aca="false">Population!L46</f>
        <v>10449</v>
      </c>
      <c r="M46" s="11" t="n">
        <f aca="false">Population!L46+(Population!V46-Population!L46)*(2011-2010)/(2020-2010)</f>
        <v>10248.6</v>
      </c>
      <c r="N46" s="11" t="n">
        <f aca="false">Population!L46+(Population!V46-Population!L46)*(2012-2010)/(2020-2010)</f>
        <v>10048.2</v>
      </c>
      <c r="O46" s="11" t="n">
        <f aca="false">Population!L46+(Population!V46-Population!L46)*(2013-2010)/(2020-2010)</f>
        <v>9847.8</v>
      </c>
      <c r="P46" s="11" t="n">
        <f aca="false">Population!L46+(Population!V46-Population!L46)*(2014-2010)/(2020-2010)</f>
        <v>9647.4</v>
      </c>
      <c r="Q46" s="11" t="n">
        <f aca="false">Population!L46+(Population!V46-Population!L46)*(2015-2010)/(2020-2010)</f>
        <v>9447</v>
      </c>
      <c r="R46" s="11" t="n">
        <f aca="false">Population!L46+(Population!V46-Population!L46)*(2016-2010)/(2020-2010)</f>
        <v>9246.6</v>
      </c>
      <c r="S46" s="11" t="n">
        <f aca="false">Population!L46+(Population!V46-Population!L46)*(2017-2010)/(2020-2010)</f>
        <v>9046.2</v>
      </c>
      <c r="T46" s="11" t="n">
        <f aca="false">Population!L46+(Population!V46-Population!L46)*(2018-2010)/(2020-2010)</f>
        <v>8845.8</v>
      </c>
      <c r="U46" s="11" t="n">
        <f aca="false">Population!L46+(Population!V46-Population!L46)*(2019-2010)/(2020-2010)</f>
        <v>8645.4</v>
      </c>
      <c r="V46" s="10" t="n">
        <f aca="false">Population!V46</f>
        <v>8445</v>
      </c>
      <c r="W46" s="11" t="n">
        <f aca="false">Population!V46+(Population!Z46-Population!V46)*(2021-2020)/(2024-2020)</f>
        <v>8376.25</v>
      </c>
      <c r="X46" s="11" t="n">
        <f aca="false">Population!V46+(Population!Z46-Population!V46)*(2022-2020)/(2024-2020)</f>
        <v>8307.5</v>
      </c>
      <c r="Y46" s="11" t="n">
        <f aca="false">Population!V46+(Population!Z46-Population!V46)*(2023-2020)/(2024-2020)</f>
        <v>8238.75</v>
      </c>
      <c r="Z46" s="10" t="n">
        <f aca="false">Population!Z46</f>
        <v>8170</v>
      </c>
      <c r="AA46" s="12"/>
    </row>
    <row r="47" customFormat="false" ht="15" hidden="false" customHeight="false" outlineLevel="0" collapsed="false">
      <c r="A47" s="9" t="str">
        <f aca="false">Population!A47</f>
        <v>Roane County</v>
      </c>
      <c r="B47" s="10" t="n">
        <f aca="false">Population!B47</f>
        <v>15446</v>
      </c>
      <c r="C47" s="11" t="n">
        <f aca="false">Population!B47+(Population!L47-Population!B47)*(2001-2000)/(2010-2000)</f>
        <v>15394</v>
      </c>
      <c r="D47" s="11" t="n">
        <f aca="false">Population!B47+(Population!L47-Population!B47)*(2002-2000)/(2010-2000)</f>
        <v>15342</v>
      </c>
      <c r="E47" s="11" t="n">
        <f aca="false">Population!B47+(Population!L47-Population!B47)*(2003-2000)/(2010-2000)</f>
        <v>15290</v>
      </c>
      <c r="F47" s="11" t="n">
        <f aca="false">Population!B47+(Population!L47-Population!B47)*(2004-2000)/(2010-2000)</f>
        <v>15238</v>
      </c>
      <c r="G47" s="11" t="n">
        <f aca="false">Population!B47+(Population!L47-Population!B47)*(2005-2000)/(2010-2000)</f>
        <v>15186</v>
      </c>
      <c r="H47" s="11" t="n">
        <f aca="false">Population!B47+(Population!L47-Population!B47)*(2006-2000)/(2010-2000)</f>
        <v>15134</v>
      </c>
      <c r="I47" s="11" t="n">
        <f aca="false">Population!B47+(Population!L47-Population!B47)*(2007-2000)/(2010-2000)</f>
        <v>15082</v>
      </c>
      <c r="J47" s="11" t="n">
        <f aca="false">Population!B47+(Population!L47-Population!B47)*(2008-2000)/(2010-2000)</f>
        <v>15030</v>
      </c>
      <c r="K47" s="11" t="n">
        <f aca="false">Population!B47+(Population!L47-Population!B47)*(2009-2000)/(2010-2000)</f>
        <v>14978</v>
      </c>
      <c r="L47" s="10" t="n">
        <f aca="false">Population!L47</f>
        <v>14926</v>
      </c>
      <c r="M47" s="11" t="n">
        <f aca="false">Population!L47+(Population!V47-Population!L47)*(2011-2010)/(2020-2010)</f>
        <v>14835.8</v>
      </c>
      <c r="N47" s="11" t="n">
        <f aca="false">Population!L47+(Population!V47-Population!L47)*(2012-2010)/(2020-2010)</f>
        <v>14745.6</v>
      </c>
      <c r="O47" s="11" t="n">
        <f aca="false">Population!L47+(Population!V47-Population!L47)*(2013-2010)/(2020-2010)</f>
        <v>14655.4</v>
      </c>
      <c r="P47" s="11" t="n">
        <f aca="false">Population!L47+(Population!V47-Population!L47)*(2014-2010)/(2020-2010)</f>
        <v>14565.2</v>
      </c>
      <c r="Q47" s="11" t="n">
        <f aca="false">Population!L47+(Population!V47-Population!L47)*(2015-2010)/(2020-2010)</f>
        <v>14475</v>
      </c>
      <c r="R47" s="11" t="n">
        <f aca="false">Population!L47+(Population!V47-Population!L47)*(2016-2010)/(2020-2010)</f>
        <v>14384.8</v>
      </c>
      <c r="S47" s="11" t="n">
        <f aca="false">Population!L47+(Population!V47-Population!L47)*(2017-2010)/(2020-2010)</f>
        <v>14294.6</v>
      </c>
      <c r="T47" s="11" t="n">
        <f aca="false">Population!L47+(Population!V47-Population!L47)*(2018-2010)/(2020-2010)</f>
        <v>14204.4</v>
      </c>
      <c r="U47" s="11" t="n">
        <f aca="false">Population!L47+(Population!V47-Population!L47)*(2019-2010)/(2020-2010)</f>
        <v>14114.2</v>
      </c>
      <c r="V47" s="10" t="n">
        <f aca="false">Population!V47</f>
        <v>14024</v>
      </c>
      <c r="W47" s="11" t="n">
        <f aca="false">Population!V47+(Population!Z47-Population!V47)*(2021-2020)/(2024-2020)</f>
        <v>13903</v>
      </c>
      <c r="X47" s="11" t="n">
        <f aca="false">Population!V47+(Population!Z47-Population!V47)*(2022-2020)/(2024-2020)</f>
        <v>13782</v>
      </c>
      <c r="Y47" s="11" t="n">
        <f aca="false">Population!V47+(Population!Z47-Population!V47)*(2023-2020)/(2024-2020)</f>
        <v>13661</v>
      </c>
      <c r="Z47" s="10" t="n">
        <f aca="false">Population!Z47</f>
        <v>13540</v>
      </c>
      <c r="AA47" s="12"/>
    </row>
    <row r="48" customFormat="false" ht="15" hidden="false" customHeight="false" outlineLevel="0" collapsed="false">
      <c r="A48" s="9" t="str">
        <f aca="false">Population!A48</f>
        <v>Summers County</v>
      </c>
      <c r="B48" s="10" t="n">
        <f aca="false">Population!B48</f>
        <v>12999</v>
      </c>
      <c r="C48" s="11" t="n">
        <f aca="false">Population!B48+(Population!L48-Population!B48)*(2001-2000)/(2010-2000)</f>
        <v>13091.8</v>
      </c>
      <c r="D48" s="11" t="n">
        <f aca="false">Population!B48+(Population!L48-Population!B48)*(2002-2000)/(2010-2000)</f>
        <v>13184.6</v>
      </c>
      <c r="E48" s="11" t="n">
        <f aca="false">Population!B48+(Population!L48-Population!B48)*(2003-2000)/(2010-2000)</f>
        <v>13277.4</v>
      </c>
      <c r="F48" s="11" t="n">
        <f aca="false">Population!B48+(Population!L48-Population!B48)*(2004-2000)/(2010-2000)</f>
        <v>13370.2</v>
      </c>
      <c r="G48" s="11" t="n">
        <f aca="false">Population!B48+(Population!L48-Population!B48)*(2005-2000)/(2010-2000)</f>
        <v>13463</v>
      </c>
      <c r="H48" s="11" t="n">
        <f aca="false">Population!B48+(Population!L48-Population!B48)*(2006-2000)/(2010-2000)</f>
        <v>13555.8</v>
      </c>
      <c r="I48" s="11" t="n">
        <f aca="false">Population!B48+(Population!L48-Population!B48)*(2007-2000)/(2010-2000)</f>
        <v>13648.6</v>
      </c>
      <c r="J48" s="11" t="n">
        <f aca="false">Population!B48+(Population!L48-Population!B48)*(2008-2000)/(2010-2000)</f>
        <v>13741.4</v>
      </c>
      <c r="K48" s="11" t="n">
        <f aca="false">Population!B48+(Population!L48-Population!B48)*(2009-2000)/(2010-2000)</f>
        <v>13834.2</v>
      </c>
      <c r="L48" s="10" t="n">
        <f aca="false">Population!L48</f>
        <v>13927</v>
      </c>
      <c r="M48" s="11" t="n">
        <f aca="false">Population!L48+(Population!V48-Population!L48)*(2011-2010)/(2020-2010)</f>
        <v>13731</v>
      </c>
      <c r="N48" s="11" t="n">
        <f aca="false">Population!L48+(Population!V48-Population!L48)*(2012-2010)/(2020-2010)</f>
        <v>13535</v>
      </c>
      <c r="O48" s="11" t="n">
        <f aca="false">Population!L48+(Population!V48-Population!L48)*(2013-2010)/(2020-2010)</f>
        <v>13339</v>
      </c>
      <c r="P48" s="11" t="n">
        <f aca="false">Population!L48+(Population!V48-Population!L48)*(2014-2010)/(2020-2010)</f>
        <v>13143</v>
      </c>
      <c r="Q48" s="11" t="n">
        <f aca="false">Population!L48+(Population!V48-Population!L48)*(2015-2010)/(2020-2010)</f>
        <v>12947</v>
      </c>
      <c r="R48" s="11" t="n">
        <f aca="false">Population!L48+(Population!V48-Population!L48)*(2016-2010)/(2020-2010)</f>
        <v>12751</v>
      </c>
      <c r="S48" s="11" t="n">
        <f aca="false">Population!L48+(Population!V48-Population!L48)*(2017-2010)/(2020-2010)</f>
        <v>12555</v>
      </c>
      <c r="T48" s="11" t="n">
        <f aca="false">Population!L48+(Population!V48-Population!L48)*(2018-2010)/(2020-2010)</f>
        <v>12359</v>
      </c>
      <c r="U48" s="11" t="n">
        <f aca="false">Population!L48+(Population!V48-Population!L48)*(2019-2010)/(2020-2010)</f>
        <v>12163</v>
      </c>
      <c r="V48" s="10" t="n">
        <f aca="false">Population!V48</f>
        <v>11967</v>
      </c>
      <c r="W48" s="11" t="n">
        <f aca="false">Population!V48+(Population!Z48-Population!V48)*(2021-2020)/(2024-2020)</f>
        <v>11861.25</v>
      </c>
      <c r="X48" s="11" t="n">
        <f aca="false">Population!V48+(Population!Z48-Population!V48)*(2022-2020)/(2024-2020)</f>
        <v>11755.5</v>
      </c>
      <c r="Y48" s="11" t="n">
        <f aca="false">Population!V48+(Population!Z48-Population!V48)*(2023-2020)/(2024-2020)</f>
        <v>11649.75</v>
      </c>
      <c r="Z48" s="10" t="n">
        <f aca="false">Population!Z48</f>
        <v>11544</v>
      </c>
      <c r="AA48" s="12"/>
    </row>
    <row r="49" customFormat="false" ht="15" hidden="false" customHeight="false" outlineLevel="0" collapsed="false">
      <c r="A49" s="9" t="str">
        <f aca="false">Population!A49</f>
        <v>Taylor County</v>
      </c>
      <c r="B49" s="10" t="n">
        <f aca="false">Population!B49</f>
        <v>16089</v>
      </c>
      <c r="C49" s="11" t="n">
        <f aca="false">Population!B49+(Population!L49-Population!B49)*(2001-2000)/(2010-2000)</f>
        <v>16169.6</v>
      </c>
      <c r="D49" s="11" t="n">
        <f aca="false">Population!B49+(Population!L49-Population!B49)*(2002-2000)/(2010-2000)</f>
        <v>16250.2</v>
      </c>
      <c r="E49" s="11" t="n">
        <f aca="false">Population!B49+(Population!L49-Population!B49)*(2003-2000)/(2010-2000)</f>
        <v>16330.8</v>
      </c>
      <c r="F49" s="11" t="n">
        <f aca="false">Population!B49+(Population!L49-Population!B49)*(2004-2000)/(2010-2000)</f>
        <v>16411.4</v>
      </c>
      <c r="G49" s="11" t="n">
        <f aca="false">Population!B49+(Population!L49-Population!B49)*(2005-2000)/(2010-2000)</f>
        <v>16492</v>
      </c>
      <c r="H49" s="11" t="n">
        <f aca="false">Population!B49+(Population!L49-Population!B49)*(2006-2000)/(2010-2000)</f>
        <v>16572.6</v>
      </c>
      <c r="I49" s="11" t="n">
        <f aca="false">Population!B49+(Population!L49-Population!B49)*(2007-2000)/(2010-2000)</f>
        <v>16653.2</v>
      </c>
      <c r="J49" s="11" t="n">
        <f aca="false">Population!B49+(Population!L49-Population!B49)*(2008-2000)/(2010-2000)</f>
        <v>16733.8</v>
      </c>
      <c r="K49" s="11" t="n">
        <f aca="false">Population!B49+(Population!L49-Population!B49)*(2009-2000)/(2010-2000)</f>
        <v>16814.4</v>
      </c>
      <c r="L49" s="10" t="n">
        <f aca="false">Population!L49</f>
        <v>16895</v>
      </c>
      <c r="M49" s="11" t="n">
        <f aca="false">Population!L49+(Population!V49-Population!L49)*(2011-2010)/(2020-2010)</f>
        <v>16876.1</v>
      </c>
      <c r="N49" s="11" t="n">
        <f aca="false">Population!L49+(Population!V49-Population!L49)*(2012-2010)/(2020-2010)</f>
        <v>16857.2</v>
      </c>
      <c r="O49" s="11" t="n">
        <f aca="false">Population!L49+(Population!V49-Population!L49)*(2013-2010)/(2020-2010)</f>
        <v>16838.3</v>
      </c>
      <c r="P49" s="11" t="n">
        <f aca="false">Population!L49+(Population!V49-Population!L49)*(2014-2010)/(2020-2010)</f>
        <v>16819.4</v>
      </c>
      <c r="Q49" s="11" t="n">
        <f aca="false">Population!L49+(Population!V49-Population!L49)*(2015-2010)/(2020-2010)</f>
        <v>16800.5</v>
      </c>
      <c r="R49" s="11" t="n">
        <f aca="false">Population!L49+(Population!V49-Population!L49)*(2016-2010)/(2020-2010)</f>
        <v>16781.6</v>
      </c>
      <c r="S49" s="11" t="n">
        <f aca="false">Population!L49+(Population!V49-Population!L49)*(2017-2010)/(2020-2010)</f>
        <v>16762.7</v>
      </c>
      <c r="T49" s="11" t="n">
        <f aca="false">Population!L49+(Population!V49-Population!L49)*(2018-2010)/(2020-2010)</f>
        <v>16743.8</v>
      </c>
      <c r="U49" s="11" t="n">
        <f aca="false">Population!L49+(Population!V49-Population!L49)*(2019-2010)/(2020-2010)</f>
        <v>16724.9</v>
      </c>
      <c r="V49" s="10" t="n">
        <f aca="false">Population!V49</f>
        <v>16706</v>
      </c>
      <c r="W49" s="11" t="n">
        <f aca="false">Population!V49+(Population!Z49-Population!V49)*(2021-2020)/(2024-2020)</f>
        <v>16639</v>
      </c>
      <c r="X49" s="11" t="n">
        <f aca="false">Population!V49+(Population!Z49-Population!V49)*(2022-2020)/(2024-2020)</f>
        <v>16572</v>
      </c>
      <c r="Y49" s="11" t="n">
        <f aca="false">Population!V49+(Population!Z49-Population!V49)*(2023-2020)/(2024-2020)</f>
        <v>16505</v>
      </c>
      <c r="Z49" s="10" t="n">
        <f aca="false">Population!Z49</f>
        <v>16438</v>
      </c>
      <c r="AA49" s="12"/>
    </row>
    <row r="50" customFormat="false" ht="15" hidden="false" customHeight="false" outlineLevel="0" collapsed="false">
      <c r="A50" s="9" t="str">
        <f aca="false">Population!A50</f>
        <v>Tucker County</v>
      </c>
      <c r="B50" s="10" t="n">
        <f aca="false">Population!B50</f>
        <v>7321</v>
      </c>
      <c r="C50" s="11" t="n">
        <f aca="false">Population!B50+(Population!L50-Population!B50)*(2001-2000)/(2010-2000)</f>
        <v>7303</v>
      </c>
      <c r="D50" s="11" t="n">
        <f aca="false">Population!B50+(Population!L50-Population!B50)*(2002-2000)/(2010-2000)</f>
        <v>7285</v>
      </c>
      <c r="E50" s="11" t="n">
        <f aca="false">Population!B50+(Population!L50-Population!B50)*(2003-2000)/(2010-2000)</f>
        <v>7267</v>
      </c>
      <c r="F50" s="11" t="n">
        <f aca="false">Population!B50+(Population!L50-Population!B50)*(2004-2000)/(2010-2000)</f>
        <v>7249</v>
      </c>
      <c r="G50" s="11" t="n">
        <f aca="false">Population!B50+(Population!L50-Population!B50)*(2005-2000)/(2010-2000)</f>
        <v>7231</v>
      </c>
      <c r="H50" s="11" t="n">
        <f aca="false">Population!B50+(Population!L50-Population!B50)*(2006-2000)/(2010-2000)</f>
        <v>7213</v>
      </c>
      <c r="I50" s="11" t="n">
        <f aca="false">Population!B50+(Population!L50-Population!B50)*(2007-2000)/(2010-2000)</f>
        <v>7195</v>
      </c>
      <c r="J50" s="11" t="n">
        <f aca="false">Population!B50+(Population!L50-Population!B50)*(2008-2000)/(2010-2000)</f>
        <v>7177</v>
      </c>
      <c r="K50" s="11" t="n">
        <f aca="false">Population!B50+(Population!L50-Population!B50)*(2009-2000)/(2010-2000)</f>
        <v>7159</v>
      </c>
      <c r="L50" s="10" t="n">
        <f aca="false">Population!L50</f>
        <v>7141</v>
      </c>
      <c r="M50" s="11" t="n">
        <f aca="false">Population!L50+(Population!V50-Population!L50)*(2011-2010)/(2020-2010)</f>
        <v>7103.3</v>
      </c>
      <c r="N50" s="11" t="n">
        <f aca="false">Population!L50+(Population!V50-Population!L50)*(2012-2010)/(2020-2010)</f>
        <v>7065.6</v>
      </c>
      <c r="O50" s="11" t="n">
        <f aca="false">Population!L50+(Population!V50-Population!L50)*(2013-2010)/(2020-2010)</f>
        <v>7027.9</v>
      </c>
      <c r="P50" s="11" t="n">
        <f aca="false">Population!L50+(Population!V50-Population!L50)*(2014-2010)/(2020-2010)</f>
        <v>6990.2</v>
      </c>
      <c r="Q50" s="11" t="n">
        <f aca="false">Population!L50+(Population!V50-Population!L50)*(2015-2010)/(2020-2010)</f>
        <v>6952.5</v>
      </c>
      <c r="R50" s="11" t="n">
        <f aca="false">Population!L50+(Population!V50-Population!L50)*(2016-2010)/(2020-2010)</f>
        <v>6914.8</v>
      </c>
      <c r="S50" s="11" t="n">
        <f aca="false">Population!L50+(Population!V50-Population!L50)*(2017-2010)/(2020-2010)</f>
        <v>6877.1</v>
      </c>
      <c r="T50" s="11" t="n">
        <f aca="false">Population!L50+(Population!V50-Population!L50)*(2018-2010)/(2020-2010)</f>
        <v>6839.4</v>
      </c>
      <c r="U50" s="11" t="n">
        <f aca="false">Population!L50+(Population!V50-Population!L50)*(2019-2010)/(2020-2010)</f>
        <v>6801.7</v>
      </c>
      <c r="V50" s="10" t="n">
        <f aca="false">Population!V50</f>
        <v>6764</v>
      </c>
      <c r="W50" s="11" t="n">
        <f aca="false">Population!V50+(Population!Z50-Population!V50)*(2021-2020)/(2024-2020)</f>
        <v>6716.25</v>
      </c>
      <c r="X50" s="11" t="n">
        <f aca="false">Population!V50+(Population!Z50-Population!V50)*(2022-2020)/(2024-2020)</f>
        <v>6668.5</v>
      </c>
      <c r="Y50" s="11" t="n">
        <f aca="false">Population!V50+(Population!Z50-Population!V50)*(2023-2020)/(2024-2020)</f>
        <v>6620.75</v>
      </c>
      <c r="Z50" s="10" t="n">
        <f aca="false">Population!Z50</f>
        <v>6573</v>
      </c>
      <c r="AA50" s="12"/>
    </row>
    <row r="51" customFormat="false" ht="15" hidden="false" customHeight="false" outlineLevel="0" collapsed="false">
      <c r="A51" s="9" t="str">
        <f aca="false">Population!A51</f>
        <v>Tyler County</v>
      </c>
      <c r="B51" s="10" t="n">
        <f aca="false">Population!B51</f>
        <v>9592</v>
      </c>
      <c r="C51" s="11" t="n">
        <f aca="false">Population!B51+(Population!L51-Population!B51)*(2001-2000)/(2010-2000)</f>
        <v>9553.6</v>
      </c>
      <c r="D51" s="11" t="n">
        <f aca="false">Population!B51+(Population!L51-Population!B51)*(2002-2000)/(2010-2000)</f>
        <v>9515.2</v>
      </c>
      <c r="E51" s="11" t="n">
        <f aca="false">Population!B51+(Population!L51-Population!B51)*(2003-2000)/(2010-2000)</f>
        <v>9476.8</v>
      </c>
      <c r="F51" s="11" t="n">
        <f aca="false">Population!B51+(Population!L51-Population!B51)*(2004-2000)/(2010-2000)</f>
        <v>9438.4</v>
      </c>
      <c r="G51" s="11" t="n">
        <f aca="false">Population!B51+(Population!L51-Population!B51)*(2005-2000)/(2010-2000)</f>
        <v>9400</v>
      </c>
      <c r="H51" s="11" t="n">
        <f aca="false">Population!B51+(Population!L51-Population!B51)*(2006-2000)/(2010-2000)</f>
        <v>9361.6</v>
      </c>
      <c r="I51" s="11" t="n">
        <f aca="false">Population!B51+(Population!L51-Population!B51)*(2007-2000)/(2010-2000)</f>
        <v>9323.2</v>
      </c>
      <c r="J51" s="11" t="n">
        <f aca="false">Population!B51+(Population!L51-Population!B51)*(2008-2000)/(2010-2000)</f>
        <v>9284.8</v>
      </c>
      <c r="K51" s="11" t="n">
        <f aca="false">Population!B51+(Population!L51-Population!B51)*(2009-2000)/(2010-2000)</f>
        <v>9246.4</v>
      </c>
      <c r="L51" s="10" t="n">
        <f aca="false">Population!L51</f>
        <v>9208</v>
      </c>
      <c r="M51" s="11" t="n">
        <f aca="false">Population!L51+(Population!V51-Population!L51)*(2011-2010)/(2020-2010)</f>
        <v>9117.7</v>
      </c>
      <c r="N51" s="11" t="n">
        <f aca="false">Population!L51+(Population!V51-Population!L51)*(2012-2010)/(2020-2010)</f>
        <v>9027.4</v>
      </c>
      <c r="O51" s="11" t="n">
        <f aca="false">Population!L51+(Population!V51-Population!L51)*(2013-2010)/(2020-2010)</f>
        <v>8937.1</v>
      </c>
      <c r="P51" s="11" t="n">
        <f aca="false">Population!L51+(Population!V51-Population!L51)*(2014-2010)/(2020-2010)</f>
        <v>8846.8</v>
      </c>
      <c r="Q51" s="11" t="n">
        <f aca="false">Population!L51+(Population!V51-Population!L51)*(2015-2010)/(2020-2010)</f>
        <v>8756.5</v>
      </c>
      <c r="R51" s="11" t="n">
        <f aca="false">Population!L51+(Population!V51-Population!L51)*(2016-2010)/(2020-2010)</f>
        <v>8666.2</v>
      </c>
      <c r="S51" s="11" t="n">
        <f aca="false">Population!L51+(Population!V51-Population!L51)*(2017-2010)/(2020-2010)</f>
        <v>8575.9</v>
      </c>
      <c r="T51" s="11" t="n">
        <f aca="false">Population!L51+(Population!V51-Population!L51)*(2018-2010)/(2020-2010)</f>
        <v>8485.6</v>
      </c>
      <c r="U51" s="11" t="n">
        <f aca="false">Population!L51+(Population!V51-Population!L51)*(2019-2010)/(2020-2010)</f>
        <v>8395.3</v>
      </c>
      <c r="V51" s="10" t="n">
        <f aca="false">Population!V51</f>
        <v>8305</v>
      </c>
      <c r="W51" s="11" t="n">
        <f aca="false">Population!V51+(Population!Z51-Population!V51)*(2021-2020)/(2024-2020)</f>
        <v>8189.5</v>
      </c>
      <c r="X51" s="11" t="n">
        <f aca="false">Population!V51+(Population!Z51-Population!V51)*(2022-2020)/(2024-2020)</f>
        <v>8074</v>
      </c>
      <c r="Y51" s="11" t="n">
        <f aca="false">Population!V51+(Population!Z51-Population!V51)*(2023-2020)/(2024-2020)</f>
        <v>7958.5</v>
      </c>
      <c r="Z51" s="10" t="n">
        <f aca="false">Population!Z51</f>
        <v>7843</v>
      </c>
      <c r="AA51" s="12"/>
    </row>
    <row r="52" customFormat="false" ht="15" hidden="false" customHeight="false" outlineLevel="0" collapsed="false">
      <c r="A52" s="9" t="str">
        <f aca="false">Population!A52</f>
        <v>Upshur County</v>
      </c>
      <c r="B52" s="10" t="n">
        <f aca="false">Population!B52</f>
        <v>23404</v>
      </c>
      <c r="C52" s="11" t="n">
        <f aca="false">Population!B52+(Population!L52-Population!B52)*(2001-2000)/(2010-2000)</f>
        <v>23489</v>
      </c>
      <c r="D52" s="11" t="n">
        <f aca="false">Population!B52+(Population!L52-Population!B52)*(2002-2000)/(2010-2000)</f>
        <v>23574</v>
      </c>
      <c r="E52" s="11" t="n">
        <f aca="false">Population!B52+(Population!L52-Population!B52)*(2003-2000)/(2010-2000)</f>
        <v>23659</v>
      </c>
      <c r="F52" s="11" t="n">
        <f aca="false">Population!B52+(Population!L52-Population!B52)*(2004-2000)/(2010-2000)</f>
        <v>23744</v>
      </c>
      <c r="G52" s="11" t="n">
        <f aca="false">Population!B52+(Population!L52-Population!B52)*(2005-2000)/(2010-2000)</f>
        <v>23829</v>
      </c>
      <c r="H52" s="11" t="n">
        <f aca="false">Population!B52+(Population!L52-Population!B52)*(2006-2000)/(2010-2000)</f>
        <v>23914</v>
      </c>
      <c r="I52" s="11" t="n">
        <f aca="false">Population!B52+(Population!L52-Population!B52)*(2007-2000)/(2010-2000)</f>
        <v>23999</v>
      </c>
      <c r="J52" s="11" t="n">
        <f aca="false">Population!B52+(Population!L52-Population!B52)*(2008-2000)/(2010-2000)</f>
        <v>24084</v>
      </c>
      <c r="K52" s="11" t="n">
        <f aca="false">Population!B52+(Population!L52-Population!B52)*(2009-2000)/(2010-2000)</f>
        <v>24169</v>
      </c>
      <c r="L52" s="10" t="n">
        <f aca="false">Population!L52</f>
        <v>24254</v>
      </c>
      <c r="M52" s="11" t="n">
        <f aca="false">Population!L52+(Population!V52-Population!L52)*(2011-2010)/(2020-2010)</f>
        <v>24210.4</v>
      </c>
      <c r="N52" s="11" t="n">
        <f aca="false">Population!L52+(Population!V52-Population!L52)*(2012-2010)/(2020-2010)</f>
        <v>24166.8</v>
      </c>
      <c r="O52" s="11" t="n">
        <f aca="false">Population!L52+(Population!V52-Population!L52)*(2013-2010)/(2020-2010)</f>
        <v>24123.2</v>
      </c>
      <c r="P52" s="11" t="n">
        <f aca="false">Population!L52+(Population!V52-Population!L52)*(2014-2010)/(2020-2010)</f>
        <v>24079.6</v>
      </c>
      <c r="Q52" s="11" t="n">
        <f aca="false">Population!L52+(Population!V52-Population!L52)*(2015-2010)/(2020-2010)</f>
        <v>24036</v>
      </c>
      <c r="R52" s="11" t="n">
        <f aca="false">Population!L52+(Population!V52-Population!L52)*(2016-2010)/(2020-2010)</f>
        <v>23992.4</v>
      </c>
      <c r="S52" s="11" t="n">
        <f aca="false">Population!L52+(Population!V52-Population!L52)*(2017-2010)/(2020-2010)</f>
        <v>23948.8</v>
      </c>
      <c r="T52" s="11" t="n">
        <f aca="false">Population!L52+(Population!V52-Population!L52)*(2018-2010)/(2020-2010)</f>
        <v>23905.2</v>
      </c>
      <c r="U52" s="11" t="n">
        <f aca="false">Population!L52+(Population!V52-Population!L52)*(2019-2010)/(2020-2010)</f>
        <v>23861.6</v>
      </c>
      <c r="V52" s="10" t="n">
        <f aca="false">Population!V52</f>
        <v>23818</v>
      </c>
      <c r="W52" s="11" t="n">
        <f aca="false">Population!V52+(Population!Z52-Population!V52)*(2021-2020)/(2024-2020)</f>
        <v>23776</v>
      </c>
      <c r="X52" s="11" t="n">
        <f aca="false">Population!V52+(Population!Z52-Population!V52)*(2022-2020)/(2024-2020)</f>
        <v>23734</v>
      </c>
      <c r="Y52" s="11" t="n">
        <f aca="false">Population!V52+(Population!Z52-Population!V52)*(2023-2020)/(2024-2020)</f>
        <v>23692</v>
      </c>
      <c r="Z52" s="10" t="n">
        <f aca="false">Population!Z52</f>
        <v>23650</v>
      </c>
      <c r="AA52" s="12"/>
    </row>
    <row r="53" customFormat="false" ht="15" hidden="false" customHeight="false" outlineLevel="0" collapsed="false">
      <c r="A53" s="9" t="str">
        <f aca="false">Population!A53</f>
        <v>Wayne County</v>
      </c>
      <c r="B53" s="10" t="n">
        <f aca="false">Population!B53</f>
        <v>42903</v>
      </c>
      <c r="C53" s="11" t="n">
        <f aca="false">Population!B53+(Population!L53-Population!B53)*(2001-2000)/(2010-2000)</f>
        <v>42860.8</v>
      </c>
      <c r="D53" s="11" t="n">
        <f aca="false">Population!B53+(Population!L53-Population!B53)*(2002-2000)/(2010-2000)</f>
        <v>42818.6</v>
      </c>
      <c r="E53" s="11" t="n">
        <f aca="false">Population!B53+(Population!L53-Population!B53)*(2003-2000)/(2010-2000)</f>
        <v>42776.4</v>
      </c>
      <c r="F53" s="11" t="n">
        <f aca="false">Population!B53+(Population!L53-Population!B53)*(2004-2000)/(2010-2000)</f>
        <v>42734.2</v>
      </c>
      <c r="G53" s="11" t="n">
        <f aca="false">Population!B53+(Population!L53-Population!B53)*(2005-2000)/(2010-2000)</f>
        <v>42692</v>
      </c>
      <c r="H53" s="11" t="n">
        <f aca="false">Population!B53+(Population!L53-Population!B53)*(2006-2000)/(2010-2000)</f>
        <v>42649.8</v>
      </c>
      <c r="I53" s="11" t="n">
        <f aca="false">Population!B53+(Population!L53-Population!B53)*(2007-2000)/(2010-2000)</f>
        <v>42607.6</v>
      </c>
      <c r="J53" s="11" t="n">
        <f aca="false">Population!B53+(Population!L53-Population!B53)*(2008-2000)/(2010-2000)</f>
        <v>42565.4</v>
      </c>
      <c r="K53" s="11" t="n">
        <f aca="false">Population!B53+(Population!L53-Population!B53)*(2009-2000)/(2010-2000)</f>
        <v>42523.2</v>
      </c>
      <c r="L53" s="10" t="n">
        <f aca="false">Population!L53</f>
        <v>42481</v>
      </c>
      <c r="M53" s="11" t="n">
        <f aca="false">Population!L53+(Population!V53-Population!L53)*(2011-2010)/(2020-2010)</f>
        <v>42130.9</v>
      </c>
      <c r="N53" s="11" t="n">
        <f aca="false">Population!L53+(Population!V53-Population!L53)*(2012-2010)/(2020-2010)</f>
        <v>41780.8</v>
      </c>
      <c r="O53" s="11" t="n">
        <f aca="false">Population!L53+(Population!V53-Population!L53)*(2013-2010)/(2020-2010)</f>
        <v>41430.7</v>
      </c>
      <c r="P53" s="11" t="n">
        <f aca="false">Population!L53+(Population!V53-Population!L53)*(2014-2010)/(2020-2010)</f>
        <v>41080.6</v>
      </c>
      <c r="Q53" s="11" t="n">
        <f aca="false">Population!L53+(Population!V53-Population!L53)*(2015-2010)/(2020-2010)</f>
        <v>40730.5</v>
      </c>
      <c r="R53" s="11" t="n">
        <f aca="false">Population!L53+(Population!V53-Population!L53)*(2016-2010)/(2020-2010)</f>
        <v>40380.4</v>
      </c>
      <c r="S53" s="11" t="n">
        <f aca="false">Population!L53+(Population!V53-Population!L53)*(2017-2010)/(2020-2010)</f>
        <v>40030.3</v>
      </c>
      <c r="T53" s="11" t="n">
        <f aca="false">Population!L53+(Population!V53-Population!L53)*(2018-2010)/(2020-2010)</f>
        <v>39680.2</v>
      </c>
      <c r="U53" s="11" t="n">
        <f aca="false">Population!L53+(Population!V53-Population!L53)*(2019-2010)/(2020-2010)</f>
        <v>39330.1</v>
      </c>
      <c r="V53" s="10" t="n">
        <f aca="false">Population!V53</f>
        <v>38980</v>
      </c>
      <c r="W53" s="11" t="n">
        <f aca="false">Population!V53+(Population!Z53-Population!V53)*(2021-2020)/(2024-2020)</f>
        <v>38632.25</v>
      </c>
      <c r="X53" s="11" t="n">
        <f aca="false">Population!V53+(Population!Z53-Population!V53)*(2022-2020)/(2024-2020)</f>
        <v>38284.5</v>
      </c>
      <c r="Y53" s="11" t="n">
        <f aca="false">Population!V53+(Population!Z53-Population!V53)*(2023-2020)/(2024-2020)</f>
        <v>37936.75</v>
      </c>
      <c r="Z53" s="10" t="n">
        <f aca="false">Population!Z53</f>
        <v>37589</v>
      </c>
      <c r="AA53" s="12"/>
    </row>
    <row r="54" customFormat="false" ht="15" hidden="false" customHeight="false" outlineLevel="0" collapsed="false">
      <c r="A54" s="9" t="str">
        <f aca="false">Population!A54</f>
        <v>Webster County</v>
      </c>
      <c r="B54" s="10" t="n">
        <f aca="false">Population!B54</f>
        <v>9719</v>
      </c>
      <c r="C54" s="11" t="n">
        <f aca="false">Population!B54+(Population!L54-Population!B54)*(2001-2000)/(2010-2000)</f>
        <v>9662.5</v>
      </c>
      <c r="D54" s="11" t="n">
        <f aca="false">Population!B54+(Population!L54-Population!B54)*(2002-2000)/(2010-2000)</f>
        <v>9606</v>
      </c>
      <c r="E54" s="11" t="n">
        <f aca="false">Population!B54+(Population!L54-Population!B54)*(2003-2000)/(2010-2000)</f>
        <v>9549.5</v>
      </c>
      <c r="F54" s="11" t="n">
        <f aca="false">Population!B54+(Population!L54-Population!B54)*(2004-2000)/(2010-2000)</f>
        <v>9493</v>
      </c>
      <c r="G54" s="11" t="n">
        <f aca="false">Population!B54+(Population!L54-Population!B54)*(2005-2000)/(2010-2000)</f>
        <v>9436.5</v>
      </c>
      <c r="H54" s="11" t="n">
        <f aca="false">Population!B54+(Population!L54-Population!B54)*(2006-2000)/(2010-2000)</f>
        <v>9380</v>
      </c>
      <c r="I54" s="11" t="n">
        <f aca="false">Population!B54+(Population!L54-Population!B54)*(2007-2000)/(2010-2000)</f>
        <v>9323.5</v>
      </c>
      <c r="J54" s="11" t="n">
        <f aca="false">Population!B54+(Population!L54-Population!B54)*(2008-2000)/(2010-2000)</f>
        <v>9267</v>
      </c>
      <c r="K54" s="11" t="n">
        <f aca="false">Population!B54+(Population!L54-Population!B54)*(2009-2000)/(2010-2000)</f>
        <v>9210.5</v>
      </c>
      <c r="L54" s="10" t="n">
        <f aca="false">Population!L54</f>
        <v>9154</v>
      </c>
      <c r="M54" s="11" t="n">
        <f aca="false">Population!L54+(Population!V54-Population!L54)*(2011-2010)/(2020-2010)</f>
        <v>9076.1</v>
      </c>
      <c r="N54" s="11" t="n">
        <f aca="false">Population!L54+(Population!V54-Population!L54)*(2012-2010)/(2020-2010)</f>
        <v>8998.2</v>
      </c>
      <c r="O54" s="11" t="n">
        <f aca="false">Population!L54+(Population!V54-Population!L54)*(2013-2010)/(2020-2010)</f>
        <v>8920.3</v>
      </c>
      <c r="P54" s="11" t="n">
        <f aca="false">Population!L54+(Population!V54-Population!L54)*(2014-2010)/(2020-2010)</f>
        <v>8842.4</v>
      </c>
      <c r="Q54" s="11" t="n">
        <f aca="false">Population!L54+(Population!V54-Population!L54)*(2015-2010)/(2020-2010)</f>
        <v>8764.5</v>
      </c>
      <c r="R54" s="11" t="n">
        <f aca="false">Population!L54+(Population!V54-Population!L54)*(2016-2010)/(2020-2010)</f>
        <v>8686.6</v>
      </c>
      <c r="S54" s="11" t="n">
        <f aca="false">Population!L54+(Population!V54-Population!L54)*(2017-2010)/(2020-2010)</f>
        <v>8608.7</v>
      </c>
      <c r="T54" s="11" t="n">
        <f aca="false">Population!L54+(Population!V54-Population!L54)*(2018-2010)/(2020-2010)</f>
        <v>8530.8</v>
      </c>
      <c r="U54" s="11" t="n">
        <f aca="false">Population!L54+(Population!V54-Population!L54)*(2019-2010)/(2020-2010)</f>
        <v>8452.9</v>
      </c>
      <c r="V54" s="10" t="n">
        <f aca="false">Population!V54</f>
        <v>8375</v>
      </c>
      <c r="W54" s="11" t="n">
        <f aca="false">Population!V54+(Population!Z54-Population!V54)*(2021-2020)/(2024-2020)</f>
        <v>8268</v>
      </c>
      <c r="X54" s="11" t="n">
        <f aca="false">Population!V54+(Population!Z54-Population!V54)*(2022-2020)/(2024-2020)</f>
        <v>8161</v>
      </c>
      <c r="Y54" s="11" t="n">
        <f aca="false">Population!V54+(Population!Z54-Population!V54)*(2023-2020)/(2024-2020)</f>
        <v>8054</v>
      </c>
      <c r="Z54" s="10" t="n">
        <f aca="false">Population!Z54</f>
        <v>7947</v>
      </c>
      <c r="AA54" s="12"/>
    </row>
    <row r="55" customFormat="false" ht="15" hidden="false" customHeight="false" outlineLevel="0" collapsed="false">
      <c r="A55" s="9" t="str">
        <f aca="false">Population!A55</f>
        <v>Wetzel County</v>
      </c>
      <c r="B55" s="10" t="n">
        <f aca="false">Population!B55</f>
        <v>17693</v>
      </c>
      <c r="C55" s="11" t="n">
        <f aca="false">Population!B55+(Population!L55-Population!B55)*(2001-2000)/(2010-2000)</f>
        <v>17582</v>
      </c>
      <c r="D55" s="11" t="n">
        <f aca="false">Population!B55+(Population!L55-Population!B55)*(2002-2000)/(2010-2000)</f>
        <v>17471</v>
      </c>
      <c r="E55" s="11" t="n">
        <f aca="false">Population!B55+(Population!L55-Population!B55)*(2003-2000)/(2010-2000)</f>
        <v>17360</v>
      </c>
      <c r="F55" s="11" t="n">
        <f aca="false">Population!B55+(Population!L55-Population!B55)*(2004-2000)/(2010-2000)</f>
        <v>17249</v>
      </c>
      <c r="G55" s="11" t="n">
        <f aca="false">Population!B55+(Population!L55-Population!B55)*(2005-2000)/(2010-2000)</f>
        <v>17138</v>
      </c>
      <c r="H55" s="11" t="n">
        <f aca="false">Population!B55+(Population!L55-Population!B55)*(2006-2000)/(2010-2000)</f>
        <v>17027</v>
      </c>
      <c r="I55" s="11" t="n">
        <f aca="false">Population!B55+(Population!L55-Population!B55)*(2007-2000)/(2010-2000)</f>
        <v>16916</v>
      </c>
      <c r="J55" s="11" t="n">
        <f aca="false">Population!B55+(Population!L55-Population!B55)*(2008-2000)/(2010-2000)</f>
        <v>16805</v>
      </c>
      <c r="K55" s="11" t="n">
        <f aca="false">Population!B55+(Population!L55-Population!B55)*(2009-2000)/(2010-2000)</f>
        <v>16694</v>
      </c>
      <c r="L55" s="10" t="n">
        <f aca="false">Population!L55</f>
        <v>16583</v>
      </c>
      <c r="M55" s="11" t="n">
        <f aca="false">Population!L55+(Population!V55-Population!L55)*(2011-2010)/(2020-2010)</f>
        <v>16370.5</v>
      </c>
      <c r="N55" s="11" t="n">
        <f aca="false">Population!L55+(Population!V55-Population!L55)*(2012-2010)/(2020-2010)</f>
        <v>16158</v>
      </c>
      <c r="O55" s="11" t="n">
        <f aca="false">Population!L55+(Population!V55-Population!L55)*(2013-2010)/(2020-2010)</f>
        <v>15945.5</v>
      </c>
      <c r="P55" s="11" t="n">
        <f aca="false">Population!L55+(Population!V55-Population!L55)*(2014-2010)/(2020-2010)</f>
        <v>15733</v>
      </c>
      <c r="Q55" s="11" t="n">
        <f aca="false">Population!L55+(Population!V55-Population!L55)*(2015-2010)/(2020-2010)</f>
        <v>15520.5</v>
      </c>
      <c r="R55" s="11" t="n">
        <f aca="false">Population!L55+(Population!V55-Population!L55)*(2016-2010)/(2020-2010)</f>
        <v>15308</v>
      </c>
      <c r="S55" s="11" t="n">
        <f aca="false">Population!L55+(Population!V55-Population!L55)*(2017-2010)/(2020-2010)</f>
        <v>15095.5</v>
      </c>
      <c r="T55" s="11" t="n">
        <f aca="false">Population!L55+(Population!V55-Population!L55)*(2018-2010)/(2020-2010)</f>
        <v>14883</v>
      </c>
      <c r="U55" s="11" t="n">
        <f aca="false">Population!L55+(Population!V55-Population!L55)*(2019-2010)/(2020-2010)</f>
        <v>14670.5</v>
      </c>
      <c r="V55" s="10" t="n">
        <f aca="false">Population!V55</f>
        <v>14458</v>
      </c>
      <c r="W55" s="11" t="n">
        <f aca="false">Population!V55+(Population!Z55-Population!V55)*(2021-2020)/(2024-2020)</f>
        <v>14285</v>
      </c>
      <c r="X55" s="11" t="n">
        <f aca="false">Population!V55+(Population!Z55-Population!V55)*(2022-2020)/(2024-2020)</f>
        <v>14112</v>
      </c>
      <c r="Y55" s="11" t="n">
        <f aca="false">Population!V55+(Population!Z55-Population!V55)*(2023-2020)/(2024-2020)</f>
        <v>13939</v>
      </c>
      <c r="Z55" s="10" t="n">
        <f aca="false">Population!Z55</f>
        <v>13766</v>
      </c>
      <c r="AA55" s="12"/>
    </row>
    <row r="56" customFormat="false" ht="15" hidden="false" customHeight="false" outlineLevel="0" collapsed="false">
      <c r="A56" s="9" t="str">
        <f aca="false">Population!A56</f>
        <v>Wirt County</v>
      </c>
      <c r="B56" s="10" t="n">
        <f aca="false">Population!B56</f>
        <v>5873</v>
      </c>
      <c r="C56" s="11" t="n">
        <f aca="false">Population!B56+(Population!L56-Population!B56)*(2001-2000)/(2010-2000)</f>
        <v>5857.4</v>
      </c>
      <c r="D56" s="11" t="n">
        <f aca="false">Population!B56+(Population!L56-Population!B56)*(2002-2000)/(2010-2000)</f>
        <v>5841.8</v>
      </c>
      <c r="E56" s="11" t="n">
        <f aca="false">Population!B56+(Population!L56-Population!B56)*(2003-2000)/(2010-2000)</f>
        <v>5826.2</v>
      </c>
      <c r="F56" s="11" t="n">
        <f aca="false">Population!B56+(Population!L56-Population!B56)*(2004-2000)/(2010-2000)</f>
        <v>5810.6</v>
      </c>
      <c r="G56" s="11" t="n">
        <f aca="false">Population!B56+(Population!L56-Population!B56)*(2005-2000)/(2010-2000)</f>
        <v>5795</v>
      </c>
      <c r="H56" s="11" t="n">
        <f aca="false">Population!B56+(Population!L56-Population!B56)*(2006-2000)/(2010-2000)</f>
        <v>5779.4</v>
      </c>
      <c r="I56" s="11" t="n">
        <f aca="false">Population!B56+(Population!L56-Population!B56)*(2007-2000)/(2010-2000)</f>
        <v>5763.8</v>
      </c>
      <c r="J56" s="11" t="n">
        <f aca="false">Population!B56+(Population!L56-Population!B56)*(2008-2000)/(2010-2000)</f>
        <v>5748.2</v>
      </c>
      <c r="K56" s="11" t="n">
        <f aca="false">Population!B56+(Population!L56-Population!B56)*(2009-2000)/(2010-2000)</f>
        <v>5732.6</v>
      </c>
      <c r="L56" s="10" t="n">
        <f aca="false">Population!L56</f>
        <v>5717</v>
      </c>
      <c r="M56" s="11" t="n">
        <f aca="false">Population!L56+(Population!V56-Population!L56)*(2011-2010)/(2020-2010)</f>
        <v>5664.9</v>
      </c>
      <c r="N56" s="11" t="n">
        <f aca="false">Population!L56+(Population!V56-Population!L56)*(2012-2010)/(2020-2010)</f>
        <v>5612.8</v>
      </c>
      <c r="O56" s="11" t="n">
        <f aca="false">Population!L56+(Population!V56-Population!L56)*(2013-2010)/(2020-2010)</f>
        <v>5560.7</v>
      </c>
      <c r="P56" s="11" t="n">
        <f aca="false">Population!L56+(Population!V56-Population!L56)*(2014-2010)/(2020-2010)</f>
        <v>5508.6</v>
      </c>
      <c r="Q56" s="11" t="n">
        <f aca="false">Population!L56+(Population!V56-Population!L56)*(2015-2010)/(2020-2010)</f>
        <v>5456.5</v>
      </c>
      <c r="R56" s="11" t="n">
        <f aca="false">Population!L56+(Population!V56-Population!L56)*(2016-2010)/(2020-2010)</f>
        <v>5404.4</v>
      </c>
      <c r="S56" s="11" t="n">
        <f aca="false">Population!L56+(Population!V56-Population!L56)*(2017-2010)/(2020-2010)</f>
        <v>5352.3</v>
      </c>
      <c r="T56" s="11" t="n">
        <f aca="false">Population!L56+(Population!V56-Population!L56)*(2018-2010)/(2020-2010)</f>
        <v>5300.2</v>
      </c>
      <c r="U56" s="11" t="n">
        <f aca="false">Population!L56+(Population!V56-Population!L56)*(2019-2010)/(2020-2010)</f>
        <v>5248.1</v>
      </c>
      <c r="V56" s="10" t="n">
        <f aca="false">Population!V56</f>
        <v>5196</v>
      </c>
      <c r="W56" s="11" t="n">
        <f aca="false">Population!V56+(Population!Z56-Population!V56)*(2021-2020)/(2024-2020)</f>
        <v>5128</v>
      </c>
      <c r="X56" s="11" t="n">
        <f aca="false">Population!V56+(Population!Z56-Population!V56)*(2022-2020)/(2024-2020)</f>
        <v>5060</v>
      </c>
      <c r="Y56" s="11" t="n">
        <f aca="false">Population!V56+(Population!Z56-Population!V56)*(2023-2020)/(2024-2020)</f>
        <v>4992</v>
      </c>
      <c r="Z56" s="10" t="n">
        <f aca="false">Population!Z56</f>
        <v>4924</v>
      </c>
      <c r="AA56" s="12"/>
    </row>
    <row r="57" customFormat="false" ht="15" hidden="false" customHeight="false" outlineLevel="0" collapsed="false">
      <c r="A57" s="9" t="str">
        <f aca="false">Population!A57</f>
        <v>Wood County</v>
      </c>
      <c r="B57" s="10" t="n">
        <f aca="false">Population!B57</f>
        <v>87986</v>
      </c>
      <c r="C57" s="11" t="n">
        <f aca="false">Population!B57+(Population!L57-Population!B57)*(2001-2000)/(2010-2000)</f>
        <v>87883</v>
      </c>
      <c r="D57" s="11" t="n">
        <f aca="false">Population!B57+(Population!L57-Population!B57)*(2002-2000)/(2010-2000)</f>
        <v>87780</v>
      </c>
      <c r="E57" s="11" t="n">
        <f aca="false">Population!B57+(Population!L57-Population!B57)*(2003-2000)/(2010-2000)</f>
        <v>87677</v>
      </c>
      <c r="F57" s="11" t="n">
        <f aca="false">Population!B57+(Population!L57-Population!B57)*(2004-2000)/(2010-2000)</f>
        <v>87574</v>
      </c>
      <c r="G57" s="11" t="n">
        <f aca="false">Population!B57+(Population!L57-Population!B57)*(2005-2000)/(2010-2000)</f>
        <v>87471</v>
      </c>
      <c r="H57" s="11" t="n">
        <f aca="false">Population!B57+(Population!L57-Population!B57)*(2006-2000)/(2010-2000)</f>
        <v>87368</v>
      </c>
      <c r="I57" s="11" t="n">
        <f aca="false">Population!B57+(Population!L57-Population!B57)*(2007-2000)/(2010-2000)</f>
        <v>87265</v>
      </c>
      <c r="J57" s="11" t="n">
        <f aca="false">Population!B57+(Population!L57-Population!B57)*(2008-2000)/(2010-2000)</f>
        <v>87162</v>
      </c>
      <c r="K57" s="11" t="n">
        <f aca="false">Population!B57+(Population!L57-Population!B57)*(2009-2000)/(2010-2000)</f>
        <v>87059</v>
      </c>
      <c r="L57" s="10" t="n">
        <f aca="false">Population!L57</f>
        <v>86956</v>
      </c>
      <c r="M57" s="11" t="n">
        <f aca="false">Population!L57+(Population!V57-Population!L57)*(2011-2010)/(2020-2010)</f>
        <v>86689.7</v>
      </c>
      <c r="N57" s="11" t="n">
        <f aca="false">Population!L57+(Population!V57-Population!L57)*(2012-2010)/(2020-2010)</f>
        <v>86423.4</v>
      </c>
      <c r="O57" s="11" t="n">
        <f aca="false">Population!L57+(Population!V57-Population!L57)*(2013-2010)/(2020-2010)</f>
        <v>86157.1</v>
      </c>
      <c r="P57" s="11" t="n">
        <f aca="false">Population!L57+(Population!V57-Population!L57)*(2014-2010)/(2020-2010)</f>
        <v>85890.8</v>
      </c>
      <c r="Q57" s="11" t="n">
        <f aca="false">Population!L57+(Population!V57-Population!L57)*(2015-2010)/(2020-2010)</f>
        <v>85624.5</v>
      </c>
      <c r="R57" s="11" t="n">
        <f aca="false">Population!L57+(Population!V57-Population!L57)*(2016-2010)/(2020-2010)</f>
        <v>85358.2</v>
      </c>
      <c r="S57" s="11" t="n">
        <f aca="false">Population!L57+(Population!V57-Population!L57)*(2017-2010)/(2020-2010)</f>
        <v>85091.9</v>
      </c>
      <c r="T57" s="11" t="n">
        <f aca="false">Population!L57+(Population!V57-Population!L57)*(2018-2010)/(2020-2010)</f>
        <v>84825.6</v>
      </c>
      <c r="U57" s="11" t="n">
        <f aca="false">Population!L57+(Population!V57-Population!L57)*(2019-2010)/(2020-2010)</f>
        <v>84559.3</v>
      </c>
      <c r="V57" s="10" t="n">
        <f aca="false">Population!V57</f>
        <v>84293</v>
      </c>
      <c r="W57" s="11" t="n">
        <f aca="false">Population!V57+(Population!Z57-Population!V57)*(2021-2020)/(2024-2020)</f>
        <v>83909</v>
      </c>
      <c r="X57" s="11" t="n">
        <f aca="false">Population!V57+(Population!Z57-Population!V57)*(2022-2020)/(2024-2020)</f>
        <v>83525</v>
      </c>
      <c r="Y57" s="11" t="n">
        <f aca="false">Population!V57+(Population!Z57-Population!V57)*(2023-2020)/(2024-2020)</f>
        <v>83141</v>
      </c>
      <c r="Z57" s="10" t="n">
        <f aca="false">Population!Z57</f>
        <v>82757</v>
      </c>
      <c r="AA57" s="12"/>
    </row>
    <row r="58" customFormat="false" ht="15" hidden="false" customHeight="false" outlineLevel="0" collapsed="false">
      <c r="A58" s="9" t="str">
        <f aca="false">Population!A58</f>
        <v>Wyoming County</v>
      </c>
      <c r="B58" s="10" t="n">
        <f aca="false">Population!B58</f>
        <v>25708</v>
      </c>
      <c r="C58" s="11" t="n">
        <f aca="false">Population!B58+(Population!L58-Population!B58)*(2001-2000)/(2010-2000)</f>
        <v>25516.8</v>
      </c>
      <c r="D58" s="11" t="n">
        <f aca="false">Population!B58+(Population!L58-Population!B58)*(2002-2000)/(2010-2000)</f>
        <v>25325.6</v>
      </c>
      <c r="E58" s="11" t="n">
        <f aca="false">Population!B58+(Population!L58-Population!B58)*(2003-2000)/(2010-2000)</f>
        <v>25134.4</v>
      </c>
      <c r="F58" s="11" t="n">
        <f aca="false">Population!B58+(Population!L58-Population!B58)*(2004-2000)/(2010-2000)</f>
        <v>24943.2</v>
      </c>
      <c r="G58" s="11" t="n">
        <f aca="false">Population!B58+(Population!L58-Population!B58)*(2005-2000)/(2010-2000)</f>
        <v>24752</v>
      </c>
      <c r="H58" s="11" t="n">
        <f aca="false">Population!B58+(Population!L58-Population!B58)*(2006-2000)/(2010-2000)</f>
        <v>24560.8</v>
      </c>
      <c r="I58" s="11" t="n">
        <f aca="false">Population!B58+(Population!L58-Population!B58)*(2007-2000)/(2010-2000)</f>
        <v>24369.6</v>
      </c>
      <c r="J58" s="11" t="n">
        <f aca="false">Population!B58+(Population!L58-Population!B58)*(2008-2000)/(2010-2000)</f>
        <v>24178.4</v>
      </c>
      <c r="K58" s="11" t="n">
        <f aca="false">Population!B58+(Population!L58-Population!B58)*(2009-2000)/(2010-2000)</f>
        <v>23987.2</v>
      </c>
      <c r="L58" s="10" t="n">
        <f aca="false">Population!L58</f>
        <v>23796</v>
      </c>
      <c r="M58" s="11" t="n">
        <f aca="false">Population!L58+(Population!V58-Population!L58)*(2011-2010)/(2020-2010)</f>
        <v>23554.8</v>
      </c>
      <c r="N58" s="11" t="n">
        <f aca="false">Population!L58+(Population!V58-Population!L58)*(2012-2010)/(2020-2010)</f>
        <v>23313.6</v>
      </c>
      <c r="O58" s="11" t="n">
        <f aca="false">Population!L58+(Population!V58-Population!L58)*(2013-2010)/(2020-2010)</f>
        <v>23072.4</v>
      </c>
      <c r="P58" s="11" t="n">
        <f aca="false">Population!L58+(Population!V58-Population!L58)*(2014-2010)/(2020-2010)</f>
        <v>22831.2</v>
      </c>
      <c r="Q58" s="11" t="n">
        <f aca="false">Population!L58+(Population!V58-Population!L58)*(2015-2010)/(2020-2010)</f>
        <v>22590</v>
      </c>
      <c r="R58" s="11" t="n">
        <f aca="false">Population!L58+(Population!V58-Population!L58)*(2016-2010)/(2020-2010)</f>
        <v>22348.8</v>
      </c>
      <c r="S58" s="11" t="n">
        <f aca="false">Population!L58+(Population!V58-Population!L58)*(2017-2010)/(2020-2010)</f>
        <v>22107.6</v>
      </c>
      <c r="T58" s="11" t="n">
        <f aca="false">Population!L58+(Population!V58-Population!L58)*(2018-2010)/(2020-2010)</f>
        <v>21866.4</v>
      </c>
      <c r="U58" s="11" t="n">
        <f aca="false">Population!L58+(Population!V58-Population!L58)*(2019-2010)/(2020-2010)</f>
        <v>21625.2</v>
      </c>
      <c r="V58" s="10" t="n">
        <f aca="false">Population!V58</f>
        <v>21384</v>
      </c>
      <c r="W58" s="11" t="n">
        <f aca="false">Population!V58+(Population!Z58-Population!V58)*(2021-2020)/(2024-2020)</f>
        <v>21029</v>
      </c>
      <c r="X58" s="11" t="n">
        <f aca="false">Population!V58+(Population!Z58-Population!V58)*(2022-2020)/(2024-2020)</f>
        <v>20674</v>
      </c>
      <c r="Y58" s="11" t="n">
        <f aca="false">Population!V58+(Population!Z58-Population!V58)*(2023-2020)/(2024-2020)</f>
        <v>20319</v>
      </c>
      <c r="Z58" s="10" t="n">
        <f aca="false">Population!Z58</f>
        <v>19964</v>
      </c>
      <c r="AA58" s="12"/>
    </row>
    <row r="60" customFormat="false" ht="15" hidden="false" customHeight="false" outlineLevel="0" collapsed="false">
      <c r="A60" s="7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2026-10-07T17:52:36Z</dcterms:created>
  <dc:creator>openpyxl</dc:creator>
  <dc:description/>
  <dc:language>en-US</dc:language>
  <cp:lastModifiedBy/>
  <dcterms:modified xsi:type="dcterms:W3CDTF">2026-10-07T17:52:36Z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