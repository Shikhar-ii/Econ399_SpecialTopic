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ubregion Summary" sheetId="2" state="visible" r:id="rId4"/>
    <sheet name="State Reference" sheetId="3" state="visible" r:id="rId5"/>
    <sheet name="Northern" sheetId="4" state="visible" r:id="rId6"/>
    <sheet name="North Central" sheetId="5" state="visible" r:id="rId7"/>
    <sheet name="Central" sheetId="6" state="visible" r:id="rId8"/>
    <sheet name="South Central" sheetId="7" state="visible" r:id="rId9"/>
    <sheet name="Souther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<sst xmlns="http://schemas.openxmlformats.org/spreadsheetml/2006/main" count="218" uniqueCount="86">
  <si>
    <t xml:space="preserve">The Appalachian Region</t>
  </si>
  <si>
    <t xml:space="preserve">Subregions, states, and core socioeconomic indicators</t>
  </si>
  <si>
    <t xml:space="preserve">What is the Appalachian Region?</t>
  </si>
  <si>
    <t xml:space="preserve">The Appalachian Region is a 205,000-square-mile area defined by the Appalachian Regional Commission (ARC), a federal-state economic development partnership created in 1965. It runs along the Appalachian Mountains from southern New York to northern Mississippi and covers all of West Virginia plus parts of 12 other states: Alabama, Georgia, Kentucky, Maryland, Mississippi, New York, North Carolina, Ohio, Pennsylvania, South Carolina, Tennessee, and Virginia.</t>
  </si>
  <si>
    <t xml:space="preserve">Scale</t>
  </si>
  <si>
    <t xml:space="preserve">13 states  |  423 counties  |  5 official ARC subregions  |  26.8 million residents (2024)</t>
  </si>
  <si>
    <t xml:space="preserve">The five subregions</t>
  </si>
  <si>
    <t xml:space="preserve">ARC groups its 423 counties into five subregions of broadly similar topography, demographics, and economics: Northern, North Central, Central, South Central, and Southern Appalachia. The classification dates to ARC's early history and was last revised in November 2009 (with minor boundary updates in 2021, when Public Law 117-58 added Catawba and Cleveland counties in NC and Union county in SC, and shifted four WV panhandle counties into North Central Appalachia). See the 'Subregion Summary' tab and the five subregion tabs for details.</t>
  </si>
  <si>
    <t xml:space="preserve">What's in this workbook</t>
  </si>
  <si>
    <t xml:space="preserve">- Subregion Summary: population, per capita income, median household income, poverty rate, unemployment rate, and bachelor's-degree attainment for the U.S., the Appalachian Region as a whole, and each of the 5 subregions.
- State Reference: the same core indicators for the Appalachian portion of each of the 13 states.
- Northern / North Central / Central / South Central / Southern tabs: one tab per subregion, showing subregion-level totals plus the states whose counties fall (fully or partly) within that subregion.</t>
  </si>
  <si>
    <t xml:space="preserve">Data sources &amp; important notes</t>
  </si>
  <si>
    <t xml:space="preserve">- Population, income, poverty, and unemployment figures are for the Appalachian portion of each state/subregion, from ARC &amp; the Population Reference Bureau's "Data Overview from the 2020-2024 American Community Survey" (the "Chartbook"), released August 20, 2026, drawing on the U.S. Census Bureau's 2020-2024 American Community Survey and Vintage 2024 Population Estimates. Dollar figures are in 2024 dollars.
- Unemployment rate is for the civilian labor force ages 25-64 (ARC's standard reporting basis), not the headline all-ages rate.
- ARC does not publish bachelor's-degree attainment broken out separately for each subregion or each state's Appalachian portion in an extractable table. The Subregion Summary tab shows the Appalachia-wide rate (29.5% for ages 25-64) and Central Appalachia's rate, which ARC states explicitly (19.6 points below the national average). The State Reference tab instead shows each state's ENTIRE-STATE bachelor's-degree rate (U.S. Census ACS 2020-2024, ages 25+) as the best available proxy -- this is not limited to the state's Appalachian counties, which generally have lower attainment than the state as a whole.
- "World Bank" and USDA "FAS" data were not included: both cover international (country-level / foreign agricultural trade) statistics and have no Appalachian county-level series.</t>
  </si>
  <si>
    <t xml:space="preserve">Counties by state (ARC-designated)</t>
  </si>
  <si>
    <t xml:space="preserve">State</t>
  </si>
  <si>
    <t xml:space="preserve">ARC Counties</t>
  </si>
  <si>
    <t xml:space="preserve">West Virginia  (Entire state)</t>
  </si>
  <si>
    <t xml:space="preserve">Kentucky  (Eastern KY)</t>
  </si>
  <si>
    <t xml:space="preserve">Pennsylvania  (Southwestern/central PA)</t>
  </si>
  <si>
    <t xml:space="preserve">Tennessee  (Eastern TN)</t>
  </si>
  <si>
    <t xml:space="preserve">Ohio  (Southeastern OH)</t>
  </si>
  <si>
    <t xml:space="preserve">North Carolina  (Western NC)</t>
  </si>
  <si>
    <t xml:space="preserve">Virginia  (Southwestern VA)</t>
  </si>
  <si>
    <t xml:space="preserve">Alabama  (Northern/eastern AL)</t>
  </si>
  <si>
    <t xml:space="preserve">Georgia  (Northern GA)</t>
  </si>
  <si>
    <t xml:space="preserve">Mississippi  (Northeastern MS)</t>
  </si>
  <si>
    <t xml:space="preserve">New York  (Southern-tier NY)</t>
  </si>
  <si>
    <t xml:space="preserve">South Carolina  (Upstate SC)</t>
  </si>
  <si>
    <t xml:space="preserve">Maryland  (Western MD)</t>
  </si>
  <si>
    <t xml:space="preserve">TOTAL</t>
  </si>
  <si>
    <t xml:space="preserve">Source: Appalachian Regional Commission / Population Reference Bureau, The Appalachian Region: A Data Overview from the 2020-2024 American Community Survey ("The Chartbook"), released Aug. 2026 (arc.gov).</t>
  </si>
  <si>
    <t xml:space="preserve">Core Indicators by Subregion</t>
  </si>
  <si>
    <t xml:space="preserve">Population, income, poverty, unemployment, and education -- U.S., Appalachian Region, and 5 subregions</t>
  </si>
  <si>
    <t xml:space="preserve">Area</t>
  </si>
  <si>
    <t xml:space="preserve">Population
(2024)</t>
  </si>
  <si>
    <t xml:space="preserve">Per Capita
Income</t>
  </si>
  <si>
    <t xml:space="preserve">Median HH
Income</t>
  </si>
  <si>
    <t xml:space="preserve">Poverty
Rate</t>
  </si>
  <si>
    <t xml:space="preserve">Unemployment
Rate (25-64)</t>
  </si>
  <si>
    <t xml:space="preserve">Bachelor's+
(25-64 or state)</t>
  </si>
  <si>
    <t xml:space="preserve">United States</t>
  </si>
  <si>
    <t xml:space="preserve">Appalachian Region</t>
  </si>
  <si>
    <t xml:space="preserve">Northern Appalachia</t>
  </si>
  <si>
    <t xml:space="preserve">see note</t>
  </si>
  <si>
    <t xml:space="preserve">North Central Appalachia</t>
  </si>
  <si>
    <t xml:space="preserve">Central Appalachia</t>
  </si>
  <si>
    <t xml:space="preserve">South Central Appalachia</t>
  </si>
  <si>
    <t xml:space="preserve">Southern Appalachia</t>
  </si>
  <si>
    <t xml:space="preserve">Note on Bachelor's+: ARC's Chartbook states the Appalachia-wide rate for ages 25-64 (29.5%) and reports that Central Appalachia trails the national average by 19.6 percentage points on this measure (giving ~16.1%); rates for the other four subregions are published only as a map, not as an extractable table, so they are marked 'see note' here. Unemployment rate = civilian labor force ages 25-64. Poverty rate = all ages. Dollar figures in 2024 dollars.</t>
  </si>
  <si>
    <t xml:space="preserve">Core Indicators by State (Appalachian Portion)</t>
  </si>
  <si>
    <t xml:space="preserve">All figures are for each state's Appalachian counties only, except Bachelor's+ (entire state -- see note)</t>
  </si>
  <si>
    <t xml:space="preserve">ARC
Counties</t>
  </si>
  <si>
    <t xml:space="preserve">Bachelor's+
(entire state, 2024)</t>
  </si>
  <si>
    <t xml:space="preserve">Alabama</t>
  </si>
  <si>
    <t xml:space="preserve">Georgia</t>
  </si>
  <si>
    <t xml:space="preserve">Kentucky</t>
  </si>
  <si>
    <t xml:space="preserve">Maryland</t>
  </si>
  <si>
    <t xml:space="preserve">Mississippi</t>
  </si>
  <si>
    <t xml:space="preserve">New York</t>
  </si>
  <si>
    <t xml:space="preserve">North Carolina</t>
  </si>
  <si>
    <t xml:space="preserve">Ohio</t>
  </si>
  <si>
    <t xml:space="preserve">Pennsylvania</t>
  </si>
  <si>
    <t xml:space="preserve">South Carolina</t>
  </si>
  <si>
    <t xml:space="preserve">Tennessee</t>
  </si>
  <si>
    <t xml:space="preserve">Virginia</t>
  </si>
  <si>
    <t xml:space="preserve">West Virginia</t>
  </si>
  <si>
    <t xml:space="preserve">Appalachian Region (13 states)</t>
  </si>
  <si>
    <t xml:space="preserve">Bachelor's+ column is each state's ENTIRE-STATE rate (ages 25+, 2020-2024 ACS 5-year estimate via FRED), not the Appalachian-portion-only rate. ARC does not publish that indicator separately by state's Appalachian portion in an extractable table. In every state, the Appalachian counties' attainment rate runs below the statewide figure shown here (e.g., Appalachian Kentucky's rate is 27.9 pct. points below the U.S. average per ARC vs. Kentucky statewide 27.9%). West Virginia is unaffected, since it is entirely within the Appalachian Region.</t>
  </si>
  <si>
    <t xml:space="preserve">Source: Appalachian Regional Commission / Population Reference Bureau, The Appalachian Region: A Data Overview from the 2020-2024 American Community Survey ("The Chartbook"), released Aug. 2026 (arc.gov).  Bachelor's degree figures are entire-state (all counties), U.S. Census Bureau 2020-2024 ACS 5-year estimates, via FRED (fred.stlouisfed.org), retrieved Sep. 2026 -- ARC does not publish this indicator separately for Appalachian-portion-only geography at state level.</t>
  </si>
  <si>
    <t xml:space="preserve">Subregion totals and contributing states</t>
  </si>
  <si>
    <t xml:space="preserve">Which counties are included</t>
  </si>
  <si>
    <t xml:space="preserve">Covers all of Maryland's and Pennsylvania's Appalachian counties, all of Appalachian New York, the northern tier of Appalachian Ohio, and 4 West Virginia panhandle counties (Brooke, Hancock, Marshall, Ohio). Includes Pittsburgh, the region's largest metro.</t>
  </si>
  <si>
    <t xml:space="preserve">Subregion-level indicators</t>
  </si>
  <si>
    <t xml:space="preserve">Bachelor's+ (25-64):</t>
  </si>
  <si>
    <t xml:space="preserve">Not separately published; region-wide rate is 29.5% (25-64).</t>
  </si>
  <si>
    <t xml:space="preserve">States with counties in Northern Appalachia</t>
  </si>
  <si>
    <t xml:space="preserve">Figures below are each state's FULL Appalachian-portion totals (all of that state's ARC counties), for reference -- not limited to only the counties located within this subregion.</t>
  </si>
  <si>
    <t xml:space="preserve">Source: Appalachian Regional Commission / Population Reference Bureau, The Appalachian Region: A Data Overview from the 2020-2024 American Community Survey ("The Chartbook"), released Aug. 2026 (arc.gov). State rows show each state's full Appalachian-portion figures (not limited to only the counties within this subregion) -- ARC does not publish state x subregion cross-tabs for these indicators in an extractable table.</t>
  </si>
  <si>
    <t xml:space="preserve">Covers a band of central Appalachian Ohio counties and north-central West Virginia counties. Added scope in 2021 to include the WV panhandle counties now grouped with Northern Appalachia.</t>
  </si>
  <si>
    <t xml:space="preserve">States with counties in North Central Appalachia</t>
  </si>
  <si>
    <t xml:space="preserve">The historic coalfield core of Appalachia: all of Appalachian Kentucky, far southwestern Virginia, a handful of northeastern Tennessee counties, and southern WV coal counties (Boone, Lincoln, Logan, McDowell, Mingo, Wayne, Wyoming). Has the region's highest poverty rate and lowest per capita income and college-completion rate.</t>
  </si>
  <si>
    <t xml:space="preserve">~16.1% (25-64) -- ARC states this subregion trails the national average by 19.6 pct. points; the lowest of the five subregions.</t>
  </si>
  <si>
    <t xml:space="preserve">States with counties in Central Appalachia</t>
  </si>
  <si>
    <t xml:space="preserve">Covers the Blue Ridge / Great Smoky Mountains corridor: western North Carolina, eastern/central Tennessee, and south-central Virginia counties.</t>
  </si>
  <si>
    <t xml:space="preserve">States with counties in South Central Appalachia</t>
  </si>
  <si>
    <t xml:space="preserve">The fastest-growing subregion (+15% since 2010): all of Appalachian Alabama, Mississippi, and South Carolina, all of Appalachian Georgia, and the southern portions of Appalachian North Carolina and Tennessee. Includes metro Atlanta's northern suburbs and Chattanooga.</t>
  </si>
  <si>
    <t xml:space="preserve">States with counties in Southern Appalachia</t>
  </si>
</sst>
</file>

<file path=xl/styles.xml><?xml version="1.0" encoding="utf-8"?>
<styleSheet xmlns="http://schemas.openxmlformats.org/spreadsheetml/2006/main">
  <numFmts count="6">
    <numFmt numFmtId="164" formatCode="General"/>
    <numFmt numFmtId="165" formatCode="General"/>
    <numFmt numFmtId="166" formatCode="#,##0"/>
    <numFmt numFmtId="167" formatCode="\$#,##0"/>
    <numFmt numFmtId="168" formatCode="0.0%"/>
    <numFmt numFmtId="169" formatCode="0"/>
  </numFmts>
  <fonts count="13">
    <font>
      <sz val="11"/>
      <color theme="1"/>
      <name val="Calibri"/>
      <family val="2"/>
      <charset val="1"/>
    </font>
    <font>
      <sz val="10"/>
      <name val="Arial"/>
      <family val="0"/>
    </font>
    <font>
      <sz val="10"/>
      <name val="Arial"/>
      <family val="0"/>
    </font>
    <font>
      <sz val="10"/>
      <name val="Arial"/>
      <family val="0"/>
    </font>
    <font>
      <b val="true"/>
      <sz val="16"/>
      <color rgb="FF2F5233"/>
      <name val="Arial"/>
      <family val="0"/>
      <charset val="1"/>
    </font>
    <font>
      <i val="true"/>
      <sz val="11"/>
      <color rgb="FF555555"/>
      <name val="Arial"/>
      <family val="0"/>
      <charset val="1"/>
    </font>
    <font>
      <b val="true"/>
      <sz val="12"/>
      <color rgb="FF2F5233"/>
      <name val="Arial"/>
      <family val="0"/>
      <charset val="1"/>
    </font>
    <font>
      <sz val="10.5"/>
      <color rgb="FF000000"/>
      <name val="Arial"/>
      <family val="0"/>
      <charset val="1"/>
    </font>
    <font>
      <b val="true"/>
      <sz val="10.5"/>
      <name val="Arial"/>
      <family val="0"/>
      <charset val="1"/>
    </font>
    <font>
      <sz val="10.5"/>
      <name val="Arial"/>
      <family val="0"/>
      <charset val="1"/>
    </font>
    <font>
      <sz val="8.5"/>
      <color rgb="FF888888"/>
      <name val="Arial"/>
      <family val="0"/>
      <charset val="1"/>
    </font>
    <font>
      <b val="true"/>
      <sz val="11"/>
      <color rgb="FFFFFFFF"/>
      <name val="Arial"/>
      <family val="0"/>
      <charset val="1"/>
    </font>
    <font>
      <i val="true"/>
      <sz val="9"/>
      <color rgb="FF666666"/>
      <name val="Arial"/>
      <family val="0"/>
      <charset val="1"/>
    </font>
  </fonts>
  <fills count="6">
    <fill>
      <patternFill patternType="none"/>
    </fill>
    <fill>
      <patternFill patternType="gray125"/>
    </fill>
    <fill>
      <patternFill patternType="solid">
        <fgColor rgb="FF2F5233"/>
        <bgColor rgb="FF555555"/>
      </patternFill>
    </fill>
    <fill>
      <patternFill patternType="solid">
        <fgColor rgb="FFFCE9C6"/>
        <bgColor rgb="FFF2F5F0"/>
      </patternFill>
    </fill>
    <fill>
      <patternFill patternType="solid">
        <fgColor rgb="FFD9E6D3"/>
        <bgColor rgb="FFFCE9C6"/>
      </patternFill>
    </fill>
    <fill>
      <patternFill patternType="solid">
        <fgColor rgb="FFF2F5F0"/>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7" fontId="8" fillId="3" borderId="1" xfId="0" applyFont="true" applyBorder="true" applyAlignment="true" applyProtection="false">
      <alignment horizontal="center" vertical="center" textRotation="0" wrapText="false" indent="0" shrinkToFit="false"/>
      <protection locked="true" hidden="false"/>
    </xf>
    <xf numFmtId="168" fontId="8" fillId="3"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7" fontId="8" fillId="4" borderId="1" xfId="0" applyFont="true" applyBorder="true" applyAlignment="true" applyProtection="false">
      <alignment horizontal="center" vertical="center" textRotation="0" wrapText="false" indent="0" shrinkToFit="false"/>
      <protection locked="true" hidden="false"/>
    </xf>
    <xf numFmtId="168" fontId="8" fillId="4"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8" fontId="12"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9" fontId="9" fillId="5" borderId="1" xfId="0" applyFont="true" applyBorder="true" applyAlignment="true" applyProtection="false">
      <alignment horizontal="center" vertical="center" textRotation="0" wrapText="false" indent="0" shrinkToFit="false"/>
      <protection locked="true" hidden="false"/>
    </xf>
    <xf numFmtId="166" fontId="9" fillId="5" borderId="1" xfId="0" applyFont="true" applyBorder="true" applyAlignment="true" applyProtection="false">
      <alignment horizontal="center" vertical="center" textRotation="0" wrapText="false" indent="0" shrinkToFit="false"/>
      <protection locked="true" hidden="false"/>
    </xf>
    <xf numFmtId="167" fontId="9" fillId="5" borderId="1" xfId="0" applyFont="true" applyBorder="true" applyAlignment="true" applyProtection="false">
      <alignment horizontal="center" vertical="center" textRotation="0" wrapText="false" indent="0" shrinkToFit="false"/>
      <protection locked="true" hidden="false"/>
    </xf>
    <xf numFmtId="168" fontId="9" fillId="5"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2F5F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6D3"/>
      <rgbColor rgb="FFFCE9C6"/>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2F52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70"/>
    <col collapsed="false" customWidth="true" hidden="false" outlineLevel="0" max="4" min="4" style="0" width="4"/>
  </cols>
  <sheetData>
    <row r="2" customFormat="false" ht="19.7" hidden="false" customHeight="false" outlineLevel="0" collapsed="false">
      <c r="B2" s="1" t="s">
        <v>0</v>
      </c>
    </row>
    <row r="3" customFormat="false" ht="15" hidden="false" customHeight="false" outlineLevel="0" collapsed="false">
      <c r="B3" s="2" t="s">
        <v>1</v>
      </c>
    </row>
    <row r="5" customFormat="false" ht="18" hidden="false" customHeight="true" outlineLevel="0" collapsed="false">
      <c r="B5" s="3" t="s">
        <v>2</v>
      </c>
      <c r="C5" s="3"/>
    </row>
    <row r="6" customFormat="false" ht="61.5" hidden="false" customHeight="true" outlineLevel="0" collapsed="false">
      <c r="B6" s="4" t="s">
        <v>3</v>
      </c>
      <c r="C6" s="4"/>
    </row>
    <row r="8" customFormat="false" ht="18" hidden="false" customHeight="true" outlineLevel="0" collapsed="false">
      <c r="B8" s="3" t="s">
        <v>4</v>
      </c>
      <c r="C8" s="3"/>
    </row>
    <row r="9" customFormat="false" ht="15" hidden="false" customHeight="true" outlineLevel="0" collapsed="false">
      <c r="B9" s="4" t="s">
        <v>5</v>
      </c>
      <c r="C9" s="4"/>
    </row>
    <row r="11" customFormat="false" ht="18" hidden="false" customHeight="true" outlineLevel="0" collapsed="false">
      <c r="B11" s="3" t="s">
        <v>6</v>
      </c>
      <c r="C11" s="3"/>
    </row>
    <row r="12" customFormat="false" ht="75.75" hidden="false" customHeight="true" outlineLevel="0" collapsed="false">
      <c r="B12" s="4" t="s">
        <v>7</v>
      </c>
      <c r="C12" s="4"/>
    </row>
    <row r="14" customFormat="false" ht="18" hidden="false" customHeight="true" outlineLevel="0" collapsed="false">
      <c r="B14" s="3" t="s">
        <v>8</v>
      </c>
      <c r="C14" s="3"/>
    </row>
    <row r="15" customFormat="false" ht="79.5" hidden="false" customHeight="true" outlineLevel="0" collapsed="false">
      <c r="B15" s="4" t="s">
        <v>9</v>
      </c>
      <c r="C15" s="4"/>
    </row>
    <row r="17" customFormat="false" ht="18" hidden="false" customHeight="true" outlineLevel="0" collapsed="false">
      <c r="B17" s="3" t="s">
        <v>10</v>
      </c>
      <c r="C17" s="3"/>
    </row>
    <row r="18" customFormat="false" ht="150" hidden="false" customHeight="true" outlineLevel="0" collapsed="false">
      <c r="B18" s="4" t="s">
        <v>11</v>
      </c>
      <c r="C18" s="4"/>
    </row>
    <row r="20" customFormat="false" ht="18" hidden="false" customHeight="true" outlineLevel="0" collapsed="false">
      <c r="B20" s="3" t="s">
        <v>12</v>
      </c>
      <c r="C20" s="3"/>
    </row>
    <row r="21" customFormat="false" ht="15" hidden="false" customHeight="false" outlineLevel="0" collapsed="false">
      <c r="B21" s="5" t="s">
        <v>13</v>
      </c>
      <c r="C21" s="5" t="s">
        <v>14</v>
      </c>
    </row>
    <row r="22" customFormat="false" ht="15" hidden="false" customHeight="false" outlineLevel="0" collapsed="false">
      <c r="B22" s="6" t="s">
        <v>15</v>
      </c>
      <c r="C22" s="7" t="n">
        <v>55</v>
      </c>
    </row>
    <row r="23" customFormat="false" ht="15" hidden="false" customHeight="false" outlineLevel="0" collapsed="false">
      <c r="B23" s="6" t="s">
        <v>16</v>
      </c>
      <c r="C23" s="7" t="n">
        <v>54</v>
      </c>
    </row>
    <row r="24" customFormat="false" ht="15" hidden="false" customHeight="false" outlineLevel="0" collapsed="false">
      <c r="B24" s="6" t="s">
        <v>17</v>
      </c>
      <c r="C24" s="7" t="n">
        <v>52</v>
      </c>
    </row>
    <row r="25" customFormat="false" ht="15" hidden="false" customHeight="false" outlineLevel="0" collapsed="false">
      <c r="B25" s="6" t="s">
        <v>18</v>
      </c>
      <c r="C25" s="7" t="n">
        <v>52</v>
      </c>
    </row>
    <row r="26" customFormat="false" ht="15" hidden="false" customHeight="false" outlineLevel="0" collapsed="false">
      <c r="B26" s="6" t="s">
        <v>19</v>
      </c>
      <c r="C26" s="7" t="n">
        <v>32</v>
      </c>
    </row>
    <row r="27" customFormat="false" ht="15" hidden="false" customHeight="false" outlineLevel="0" collapsed="false">
      <c r="B27" s="6" t="s">
        <v>20</v>
      </c>
      <c r="C27" s="7" t="n">
        <v>29</v>
      </c>
    </row>
    <row r="28" customFormat="false" ht="15" hidden="false" customHeight="false" outlineLevel="0" collapsed="false">
      <c r="B28" s="6" t="s">
        <v>21</v>
      </c>
      <c r="C28" s="7" t="n">
        <v>25</v>
      </c>
    </row>
    <row r="29" customFormat="false" ht="15" hidden="false" customHeight="false" outlineLevel="0" collapsed="false">
      <c r="B29" s="6" t="s">
        <v>22</v>
      </c>
      <c r="C29" s="7" t="n">
        <v>37</v>
      </c>
    </row>
    <row r="30" customFormat="false" ht="15" hidden="false" customHeight="false" outlineLevel="0" collapsed="false">
      <c r="B30" s="6" t="s">
        <v>23</v>
      </c>
      <c r="C30" s="7" t="n">
        <v>37</v>
      </c>
    </row>
    <row r="31" customFormat="false" ht="15" hidden="false" customHeight="false" outlineLevel="0" collapsed="false">
      <c r="B31" s="6" t="s">
        <v>24</v>
      </c>
      <c r="C31" s="7" t="n">
        <v>24</v>
      </c>
    </row>
    <row r="32" customFormat="false" ht="15" hidden="false" customHeight="false" outlineLevel="0" collapsed="false">
      <c r="B32" s="6" t="s">
        <v>25</v>
      </c>
      <c r="C32" s="7" t="n">
        <v>14</v>
      </c>
    </row>
    <row r="33" customFormat="false" ht="15" hidden="false" customHeight="false" outlineLevel="0" collapsed="false">
      <c r="B33" s="6" t="s">
        <v>26</v>
      </c>
      <c r="C33" s="7" t="n">
        <v>6</v>
      </c>
    </row>
    <row r="34" customFormat="false" ht="15" hidden="false" customHeight="false" outlineLevel="0" collapsed="false">
      <c r="B34" s="6" t="s">
        <v>27</v>
      </c>
      <c r="C34" s="7" t="n">
        <v>3</v>
      </c>
    </row>
    <row r="35" customFormat="false" ht="15" hidden="false" customHeight="false" outlineLevel="0" collapsed="false">
      <c r="B35" s="5" t="s">
        <v>28</v>
      </c>
      <c r="C35" s="8" t="n">
        <f aca="false">SUM(C22:C34)</f>
        <v>420</v>
      </c>
    </row>
    <row r="38" customFormat="false" ht="19.4" hidden="false" customHeight="true" outlineLevel="0" collapsed="false">
      <c r="B38" s="9" t="s">
        <v>29</v>
      </c>
      <c r="C38" s="9"/>
    </row>
  </sheetData>
  <mergeCells count="12">
    <mergeCell ref="B5:C5"/>
    <mergeCell ref="B6:C6"/>
    <mergeCell ref="B8:C8"/>
    <mergeCell ref="B9:C9"/>
    <mergeCell ref="B11:C11"/>
    <mergeCell ref="B12:C12"/>
    <mergeCell ref="B14:C14"/>
    <mergeCell ref="B15:C15"/>
    <mergeCell ref="B17:C17"/>
    <mergeCell ref="B18:C18"/>
    <mergeCell ref="B20:C20"/>
    <mergeCell ref="B38:C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5"/>
    <col collapsed="false" customWidth="true" hidden="false" outlineLevel="0" max="3" min="3" style="0" width="26"/>
    <col collapsed="false" customWidth="true" hidden="false" outlineLevel="0" max="8" min="4" style="0" width="15"/>
  </cols>
  <sheetData>
    <row r="2" customFormat="false" ht="19.7" hidden="false" customHeight="false" outlineLevel="0" collapsed="false">
      <c r="B2" s="1" t="s">
        <v>30</v>
      </c>
    </row>
    <row r="3" customFormat="false" ht="15" hidden="false" customHeight="false" outlineLevel="0" collapsed="false">
      <c r="B3" s="2" t="s">
        <v>31</v>
      </c>
    </row>
    <row r="5" customFormat="false" ht="31.5" hidden="false" customHeight="true" outlineLevel="0" collapsed="false">
      <c r="B5" s="10" t="s">
        <v>32</v>
      </c>
      <c r="C5" s="10" t="s">
        <v>33</v>
      </c>
      <c r="D5" s="10" t="s">
        <v>34</v>
      </c>
      <c r="E5" s="10" t="s">
        <v>35</v>
      </c>
      <c r="F5" s="10" t="s">
        <v>36</v>
      </c>
      <c r="G5" s="10" t="s">
        <v>37</v>
      </c>
      <c r="H5" s="10" t="s">
        <v>38</v>
      </c>
    </row>
    <row r="6" customFormat="false" ht="15" hidden="false" customHeight="false" outlineLevel="0" collapsed="false">
      <c r="B6" s="11" t="s">
        <v>39</v>
      </c>
      <c r="C6" s="12" t="n">
        <v>340110988</v>
      </c>
      <c r="D6" s="13" t="n">
        <v>44673</v>
      </c>
      <c r="E6" s="13" t="n">
        <v>80734</v>
      </c>
      <c r="F6" s="14" t="n">
        <v>0.125</v>
      </c>
      <c r="G6" s="14" t="n">
        <v>0.044</v>
      </c>
      <c r="H6" s="14" t="n">
        <v>0.357</v>
      </c>
    </row>
    <row r="7" customFormat="false" ht="15" hidden="false" customHeight="false" outlineLevel="0" collapsed="false">
      <c r="B7" s="15" t="s">
        <v>40</v>
      </c>
      <c r="C7" s="16" t="n">
        <v>26785329</v>
      </c>
      <c r="D7" s="17" t="n">
        <v>36770</v>
      </c>
      <c r="E7" s="17" t="n">
        <v>66555</v>
      </c>
      <c r="F7" s="18" t="n">
        <v>0.143</v>
      </c>
      <c r="G7" s="18" t="n">
        <v>0.04</v>
      </c>
      <c r="H7" s="18" t="n">
        <v>0.295</v>
      </c>
    </row>
    <row r="8" customFormat="false" ht="15" hidden="false" customHeight="false" outlineLevel="0" collapsed="false">
      <c r="B8" s="19" t="s">
        <v>41</v>
      </c>
      <c r="C8" s="20" t="n">
        <v>8022967</v>
      </c>
      <c r="D8" s="21" t="n">
        <v>38496</v>
      </c>
      <c r="E8" s="21" t="n">
        <v>67806</v>
      </c>
      <c r="F8" s="22" t="n">
        <v>0.133</v>
      </c>
      <c r="G8" s="22" t="n">
        <v>0.045</v>
      </c>
      <c r="H8" s="23" t="s">
        <v>42</v>
      </c>
    </row>
    <row r="9" customFormat="false" ht="15" hidden="false" customHeight="false" outlineLevel="0" collapsed="false">
      <c r="B9" s="19" t="s">
        <v>43</v>
      </c>
      <c r="C9" s="20" t="n">
        <v>2484901</v>
      </c>
      <c r="D9" s="21" t="n">
        <v>34780</v>
      </c>
      <c r="E9" s="21" t="n">
        <v>62315</v>
      </c>
      <c r="F9" s="22" t="n">
        <v>0.159</v>
      </c>
      <c r="G9" s="22" t="n">
        <v>0.042</v>
      </c>
      <c r="H9" s="23" t="s">
        <v>42</v>
      </c>
    </row>
    <row r="10" customFormat="false" ht="15" hidden="false" customHeight="false" outlineLevel="0" collapsed="false">
      <c r="B10" s="19" t="s">
        <v>44</v>
      </c>
      <c r="C10" s="20" t="n">
        <v>1858312</v>
      </c>
      <c r="D10" s="21" t="n">
        <v>27923</v>
      </c>
      <c r="E10" s="21" t="n">
        <v>50224</v>
      </c>
      <c r="F10" s="22" t="n">
        <v>0.212</v>
      </c>
      <c r="G10" s="22" t="n">
        <v>0.048</v>
      </c>
      <c r="H10" s="22" t="n">
        <v>0.161</v>
      </c>
    </row>
    <row r="11" customFormat="false" ht="15" hidden="false" customHeight="false" outlineLevel="0" collapsed="false">
      <c r="B11" s="19" t="s">
        <v>45</v>
      </c>
      <c r="C11" s="20" t="n">
        <v>5400620</v>
      </c>
      <c r="D11" s="21" t="n">
        <v>36749</v>
      </c>
      <c r="E11" s="21" t="n">
        <v>64138</v>
      </c>
      <c r="F11" s="22" t="n">
        <v>0.142</v>
      </c>
      <c r="G11" s="22" t="n">
        <v>0.037</v>
      </c>
      <c r="H11" s="23" t="s">
        <v>42</v>
      </c>
    </row>
    <row r="12" customFormat="false" ht="15" hidden="false" customHeight="false" outlineLevel="0" collapsed="false">
      <c r="B12" s="19" t="s">
        <v>46</v>
      </c>
      <c r="C12" s="20" t="n">
        <v>9018529</v>
      </c>
      <c r="D12" s="21" t="n">
        <v>37633</v>
      </c>
      <c r="E12" s="21" t="n">
        <v>72365</v>
      </c>
      <c r="F12" s="22" t="n">
        <v>0.132</v>
      </c>
      <c r="G12" s="22" t="n">
        <v>0.037</v>
      </c>
      <c r="H12" s="23" t="s">
        <v>42</v>
      </c>
    </row>
    <row r="14" customFormat="false" ht="60" hidden="false" customHeight="true" outlineLevel="0" collapsed="false">
      <c r="B14" s="24" t="s">
        <v>47</v>
      </c>
      <c r="C14" s="24"/>
      <c r="D14" s="24"/>
      <c r="E14" s="24"/>
      <c r="F14" s="24"/>
      <c r="G14" s="24"/>
      <c r="H14" s="24"/>
    </row>
    <row r="16" customFormat="false" ht="15" hidden="false" customHeight="false" outlineLevel="0" collapsed="false">
      <c r="B16" s="25" t="s">
        <v>29</v>
      </c>
      <c r="C16" s="25"/>
      <c r="D16" s="25"/>
      <c r="E16" s="25"/>
      <c r="F16" s="25"/>
      <c r="G16" s="25"/>
      <c r="H16" s="25"/>
    </row>
  </sheetData>
  <mergeCells count="2">
    <mergeCell ref="B14:H14"/>
    <mergeCell ref="B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7"/>
    <col collapsed="false" customWidth="true" hidden="false" outlineLevel="0" max="9" min="3" style="0" width="14"/>
  </cols>
  <sheetData>
    <row r="2" customFormat="false" ht="19.7" hidden="false" customHeight="false" outlineLevel="0" collapsed="false">
      <c r="B2" s="1" t="s">
        <v>48</v>
      </c>
    </row>
    <row r="3" customFormat="false" ht="15" hidden="false" customHeight="false" outlineLevel="0" collapsed="false">
      <c r="B3" s="2" t="s">
        <v>49</v>
      </c>
    </row>
    <row r="5" customFormat="false" ht="31.5" hidden="false" customHeight="true" outlineLevel="0" collapsed="false">
      <c r="B5" s="10" t="s">
        <v>13</v>
      </c>
      <c r="C5" s="10" t="s">
        <v>50</v>
      </c>
      <c r="D5" s="10" t="s">
        <v>33</v>
      </c>
      <c r="E5" s="10" t="s">
        <v>34</v>
      </c>
      <c r="F5" s="10" t="s">
        <v>35</v>
      </c>
      <c r="G5" s="10" t="s">
        <v>36</v>
      </c>
      <c r="H5" s="10" t="s">
        <v>37</v>
      </c>
      <c r="I5" s="10" t="s">
        <v>51</v>
      </c>
    </row>
    <row r="6" customFormat="false" ht="15" hidden="false" customHeight="false" outlineLevel="0" collapsed="false">
      <c r="B6" s="26" t="s">
        <v>52</v>
      </c>
      <c r="C6" s="27" t="n">
        <v>37</v>
      </c>
      <c r="D6" s="28" t="n">
        <v>3336150</v>
      </c>
      <c r="E6" s="29" t="n">
        <v>37399</v>
      </c>
      <c r="F6" s="29" t="n">
        <v>67578</v>
      </c>
      <c r="G6" s="30" t="n">
        <v>0.145</v>
      </c>
      <c r="H6" s="30" t="n">
        <v>0.037</v>
      </c>
      <c r="I6" s="30" t="n">
        <v>0.299</v>
      </c>
    </row>
    <row r="7" customFormat="false" ht="15" hidden="false" customHeight="false" outlineLevel="0" collapsed="false">
      <c r="B7" s="19" t="s">
        <v>53</v>
      </c>
      <c r="C7" s="31" t="n">
        <v>37</v>
      </c>
      <c r="D7" s="20" t="n">
        <v>3611878</v>
      </c>
      <c r="E7" s="21" t="n">
        <v>39142</v>
      </c>
      <c r="F7" s="21" t="n">
        <v>84420</v>
      </c>
      <c r="G7" s="22" t="n">
        <v>0.108</v>
      </c>
      <c r="H7" s="22" t="n">
        <v>0.035</v>
      </c>
      <c r="I7" s="22" t="n">
        <v>0.363</v>
      </c>
    </row>
    <row r="8" customFormat="false" ht="15" hidden="false" customHeight="false" outlineLevel="0" collapsed="false">
      <c r="B8" s="26" t="s">
        <v>54</v>
      </c>
      <c r="C8" s="27" t="n">
        <v>54</v>
      </c>
      <c r="D8" s="28" t="n">
        <v>1164897</v>
      </c>
      <c r="E8" s="29" t="n">
        <v>27328</v>
      </c>
      <c r="F8" s="29" t="n">
        <v>49616</v>
      </c>
      <c r="G8" s="30" t="n">
        <v>0.224</v>
      </c>
      <c r="H8" s="30" t="n">
        <v>0.049</v>
      </c>
      <c r="I8" s="30" t="n">
        <v>0.279</v>
      </c>
    </row>
    <row r="9" customFormat="false" ht="15" hidden="false" customHeight="false" outlineLevel="0" collapsed="false">
      <c r="B9" s="19" t="s">
        <v>55</v>
      </c>
      <c r="C9" s="31" t="n">
        <v>3</v>
      </c>
      <c r="D9" s="20" t="n">
        <v>252718</v>
      </c>
      <c r="E9" s="21" t="n">
        <v>37430</v>
      </c>
      <c r="F9" s="21" t="n">
        <v>70890</v>
      </c>
      <c r="G9" s="22" t="n">
        <v>0.134</v>
      </c>
      <c r="H9" s="22" t="n">
        <v>0.039</v>
      </c>
      <c r="I9" s="22" t="n">
        <v>0.447</v>
      </c>
    </row>
    <row r="10" customFormat="false" ht="15" hidden="false" customHeight="false" outlineLevel="0" collapsed="false">
      <c r="B10" s="26" t="s">
        <v>56</v>
      </c>
      <c r="C10" s="27" t="n">
        <v>24</v>
      </c>
      <c r="D10" s="28" t="n">
        <v>608187</v>
      </c>
      <c r="E10" s="29" t="n">
        <v>29587</v>
      </c>
      <c r="F10" s="29" t="n">
        <v>52343</v>
      </c>
      <c r="G10" s="30" t="n">
        <v>0.192</v>
      </c>
      <c r="H10" s="30" t="n">
        <v>0.044</v>
      </c>
      <c r="I10" s="30" t="n">
        <v>0.27</v>
      </c>
    </row>
    <row r="11" customFormat="false" ht="15" hidden="false" customHeight="false" outlineLevel="0" collapsed="false">
      <c r="B11" s="19" t="s">
        <v>57</v>
      </c>
      <c r="C11" s="31" t="n">
        <v>14</v>
      </c>
      <c r="D11" s="20" t="n">
        <v>1013290</v>
      </c>
      <c r="E11" s="21" t="n">
        <v>36184</v>
      </c>
      <c r="F11" s="21" t="n">
        <v>65329</v>
      </c>
      <c r="G11" s="22" t="n">
        <v>0.159</v>
      </c>
      <c r="H11" s="22" t="n">
        <v>0.048</v>
      </c>
      <c r="I11" s="22" t="n">
        <v>0.412</v>
      </c>
    </row>
    <row r="12" customFormat="false" ht="15" hidden="false" customHeight="false" outlineLevel="0" collapsed="false">
      <c r="B12" s="26" t="s">
        <v>58</v>
      </c>
      <c r="C12" s="27" t="n">
        <v>29</v>
      </c>
      <c r="D12" s="28" t="n">
        <v>2085009</v>
      </c>
      <c r="E12" s="29" t="n">
        <v>36670</v>
      </c>
      <c r="F12" s="29" t="n">
        <v>63274</v>
      </c>
      <c r="G12" s="30" t="n">
        <v>0.14</v>
      </c>
      <c r="H12" s="30" t="n">
        <v>0.038</v>
      </c>
      <c r="I12" s="30" t="n">
        <v>0.371</v>
      </c>
    </row>
    <row r="13" customFormat="false" ht="15" hidden="false" customHeight="false" outlineLevel="0" collapsed="false">
      <c r="B13" s="19" t="s">
        <v>59</v>
      </c>
      <c r="C13" s="31" t="n">
        <v>32</v>
      </c>
      <c r="D13" s="20" t="n">
        <v>1972196</v>
      </c>
      <c r="E13" s="21" t="n">
        <v>33602</v>
      </c>
      <c r="F13" s="21" t="n">
        <v>61487</v>
      </c>
      <c r="G13" s="22" t="n">
        <v>0.159</v>
      </c>
      <c r="H13" s="22" t="n">
        <v>0.042</v>
      </c>
      <c r="I13" s="22" t="n">
        <v>0.324</v>
      </c>
    </row>
    <row r="14" customFormat="false" ht="15" hidden="false" customHeight="false" outlineLevel="0" collapsed="false">
      <c r="B14" s="26" t="s">
        <v>60</v>
      </c>
      <c r="C14" s="27" t="n">
        <v>52</v>
      </c>
      <c r="D14" s="28" t="n">
        <v>5666530</v>
      </c>
      <c r="E14" s="29" t="n">
        <v>40033</v>
      </c>
      <c r="F14" s="29" t="n">
        <v>69925</v>
      </c>
      <c r="G14" s="30" t="n">
        <v>0.123</v>
      </c>
      <c r="H14" s="30" t="n">
        <v>0.044</v>
      </c>
      <c r="I14" s="30" t="n">
        <v>0.364</v>
      </c>
    </row>
    <row r="15" customFormat="false" ht="15" hidden="false" customHeight="false" outlineLevel="0" collapsed="false">
      <c r="B15" s="19" t="s">
        <v>61</v>
      </c>
      <c r="C15" s="31" t="n">
        <v>6</v>
      </c>
      <c r="D15" s="20" t="n">
        <v>1462314</v>
      </c>
      <c r="E15" s="21" t="n">
        <v>37920</v>
      </c>
      <c r="F15" s="21" t="n">
        <v>68742</v>
      </c>
      <c r="G15" s="22" t="n">
        <v>0.138</v>
      </c>
      <c r="H15" s="22" t="n">
        <v>0.038</v>
      </c>
      <c r="I15" s="22" t="n">
        <v>0.333</v>
      </c>
    </row>
    <row r="16" customFormat="false" ht="15" hidden="false" customHeight="false" outlineLevel="0" collapsed="false">
      <c r="B16" s="26" t="s">
        <v>62</v>
      </c>
      <c r="C16" s="27" t="n">
        <v>52</v>
      </c>
      <c r="D16" s="28" t="n">
        <v>3114150</v>
      </c>
      <c r="E16" s="29" t="n">
        <v>36462</v>
      </c>
      <c r="F16" s="29" t="n">
        <v>64375</v>
      </c>
      <c r="G16" s="30" t="n">
        <v>0.144</v>
      </c>
      <c r="H16" s="30" t="n">
        <v>0.038</v>
      </c>
      <c r="I16" s="30" t="n">
        <v>0.324</v>
      </c>
    </row>
    <row r="17" customFormat="false" ht="15" hidden="false" customHeight="false" outlineLevel="0" collapsed="false">
      <c r="B17" s="19" t="s">
        <v>63</v>
      </c>
      <c r="C17" s="31" t="n">
        <v>25</v>
      </c>
      <c r="D17" s="20" t="n">
        <v>728031</v>
      </c>
      <c r="E17" s="21" t="n">
        <v>33016</v>
      </c>
      <c r="F17" s="21" t="n">
        <v>56552</v>
      </c>
      <c r="G17" s="22" t="n">
        <v>0.17</v>
      </c>
      <c r="H17" s="22" t="n">
        <v>0.032</v>
      </c>
      <c r="I17" s="22" t="n">
        <v>0.433</v>
      </c>
    </row>
    <row r="18" customFormat="false" ht="15" hidden="false" customHeight="false" outlineLevel="0" collapsed="false">
      <c r="B18" s="26" t="s">
        <v>64</v>
      </c>
      <c r="C18" s="27" t="n">
        <v>55</v>
      </c>
      <c r="D18" s="28" t="n">
        <v>1769979</v>
      </c>
      <c r="E18" s="29" t="n">
        <v>34203</v>
      </c>
      <c r="F18" s="29" t="n">
        <v>59608</v>
      </c>
      <c r="G18" s="30" t="n">
        <v>0.167</v>
      </c>
      <c r="H18" s="30" t="n">
        <v>0.047</v>
      </c>
      <c r="I18" s="30" t="n">
        <v>0.244</v>
      </c>
    </row>
    <row r="19" customFormat="false" ht="15" hidden="false" customHeight="false" outlineLevel="0" collapsed="false">
      <c r="B19" s="32" t="s">
        <v>65</v>
      </c>
      <c r="C19" s="32" t="n">
        <f aca="false">SUM(C6:C18)</f>
        <v>420</v>
      </c>
      <c r="D19" s="33" t="n">
        <f aca="false">SUM(D6:D18)</f>
        <v>26785329</v>
      </c>
      <c r="E19" s="34"/>
      <c r="F19" s="34"/>
      <c r="G19" s="34"/>
      <c r="H19" s="34"/>
      <c r="I19" s="34"/>
    </row>
    <row r="21" customFormat="false" ht="75" hidden="false" customHeight="true" outlineLevel="0" collapsed="false">
      <c r="B21" s="24" t="s">
        <v>66</v>
      </c>
      <c r="C21" s="24"/>
      <c r="D21" s="24"/>
      <c r="E21" s="24"/>
      <c r="F21" s="24"/>
      <c r="G21" s="24"/>
      <c r="H21" s="24"/>
      <c r="I21" s="24"/>
    </row>
    <row r="23" customFormat="false" ht="39.75" hidden="false" customHeight="true" outlineLevel="0" collapsed="false">
      <c r="B23" s="35" t="s">
        <v>67</v>
      </c>
      <c r="C23" s="35"/>
      <c r="D23" s="35"/>
      <c r="E23" s="35"/>
      <c r="F23" s="35"/>
      <c r="G23" s="35"/>
      <c r="H23" s="35"/>
      <c r="I23" s="35"/>
    </row>
  </sheetData>
  <mergeCells count="2">
    <mergeCell ref="B21:I21"/>
    <mergeCell ref="B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8" min="3" style="0" width="14"/>
    <col collapsed="false" customWidth="true" hidden="false" outlineLevel="0" max="9" min="9" style="0" width="15"/>
  </cols>
  <sheetData>
    <row r="2" customFormat="false" ht="19.7" hidden="false" customHeight="false" outlineLevel="0" collapsed="false">
      <c r="B2" s="1" t="s">
        <v>41</v>
      </c>
    </row>
    <row r="3" customFormat="false" ht="15" hidden="false" customHeight="false" outlineLevel="0" collapsed="false">
      <c r="B3" s="2" t="s">
        <v>68</v>
      </c>
    </row>
    <row r="5" customFormat="false" ht="15" hidden="false" customHeight="false" outlineLevel="0" collapsed="false">
      <c r="B5" s="36" t="s">
        <v>69</v>
      </c>
    </row>
    <row r="6" customFormat="false" ht="60" hidden="false" customHeight="true" outlineLevel="0" collapsed="false">
      <c r="B6" s="37" t="s">
        <v>70</v>
      </c>
      <c r="C6" s="37"/>
      <c r="D6" s="37"/>
      <c r="E6" s="37"/>
      <c r="F6" s="37"/>
      <c r="G6" s="37"/>
    </row>
    <row r="8" customFormat="false" ht="15" hidden="false" customHeight="false" outlineLevel="0" collapsed="false">
      <c r="B8" s="36" t="s">
        <v>71</v>
      </c>
    </row>
    <row r="9" customFormat="false" ht="30" hidden="false" customHeight="true" outlineLevel="0" collapsed="false">
      <c r="B9" s="10" t="s">
        <v>32</v>
      </c>
      <c r="C9" s="10" t="s">
        <v>33</v>
      </c>
      <c r="D9" s="10" t="s">
        <v>34</v>
      </c>
      <c r="E9" s="10" t="s">
        <v>35</v>
      </c>
      <c r="F9" s="10" t="s">
        <v>36</v>
      </c>
      <c r="G9" s="10" t="s">
        <v>37</v>
      </c>
    </row>
    <row r="10" customFormat="false" ht="15" hidden="false" customHeight="false" outlineLevel="0" collapsed="false">
      <c r="B10" s="15" t="s">
        <v>41</v>
      </c>
      <c r="C10" s="16" t="n">
        <v>8022967</v>
      </c>
      <c r="D10" s="17" t="n">
        <v>38496</v>
      </c>
      <c r="E10" s="17" t="n">
        <v>67806</v>
      </c>
      <c r="F10" s="18" t="n">
        <v>0.133</v>
      </c>
      <c r="G10" s="18" t="n">
        <v>0.045</v>
      </c>
    </row>
    <row r="11" customFormat="false" ht="27.75" hidden="false" customHeight="true" outlineLevel="0" collapsed="false">
      <c r="B11" s="38" t="s">
        <v>72</v>
      </c>
      <c r="C11" s="35" t="s">
        <v>73</v>
      </c>
      <c r="D11" s="35"/>
      <c r="E11" s="35"/>
      <c r="F11" s="35"/>
      <c r="G11" s="35"/>
    </row>
    <row r="13" customFormat="false" ht="15" hidden="false" customHeight="false" outlineLevel="0" collapsed="false">
      <c r="B13" s="36" t="s">
        <v>74</v>
      </c>
    </row>
    <row r="14" customFormat="false" ht="27.75" hidden="false" customHeight="true" outlineLevel="0" collapsed="false">
      <c r="B14" s="35" t="s">
        <v>75</v>
      </c>
      <c r="C14" s="35"/>
      <c r="D14" s="35"/>
      <c r="E14" s="35"/>
      <c r="F14" s="35"/>
      <c r="G14" s="35"/>
    </row>
    <row r="15" customFormat="false" ht="30" hidden="false" customHeight="true" outlineLevel="0" collapsed="false">
      <c r="B15" s="10" t="s">
        <v>13</v>
      </c>
      <c r="C15" s="10" t="s">
        <v>50</v>
      </c>
      <c r="D15" s="10" t="s">
        <v>33</v>
      </c>
      <c r="E15" s="10" t="s">
        <v>34</v>
      </c>
      <c r="F15" s="10" t="s">
        <v>35</v>
      </c>
      <c r="G15" s="10" t="s">
        <v>36</v>
      </c>
      <c r="H15" s="10" t="s">
        <v>37</v>
      </c>
    </row>
    <row r="16" customFormat="false" ht="15" hidden="false" customHeight="false" outlineLevel="0" collapsed="false">
      <c r="B16" s="19" t="s">
        <v>55</v>
      </c>
      <c r="C16" s="31" t="n">
        <v>3</v>
      </c>
      <c r="D16" s="20" t="n">
        <v>252718</v>
      </c>
      <c r="E16" s="21" t="n">
        <v>37430</v>
      </c>
      <c r="F16" s="21" t="n">
        <v>70890</v>
      </c>
      <c r="G16" s="22" t="n">
        <v>0.134</v>
      </c>
      <c r="H16" s="22" t="n">
        <v>0.039</v>
      </c>
    </row>
    <row r="17" customFormat="false" ht="15" hidden="false" customHeight="false" outlineLevel="0" collapsed="false">
      <c r="B17" s="26" t="s">
        <v>57</v>
      </c>
      <c r="C17" s="27" t="n">
        <v>14</v>
      </c>
      <c r="D17" s="28" t="n">
        <v>1013290</v>
      </c>
      <c r="E17" s="29" t="n">
        <v>36184</v>
      </c>
      <c r="F17" s="29" t="n">
        <v>65329</v>
      </c>
      <c r="G17" s="30" t="n">
        <v>0.159</v>
      </c>
      <c r="H17" s="30" t="n">
        <v>0.048</v>
      </c>
    </row>
    <row r="18" customFormat="false" ht="15" hidden="false" customHeight="false" outlineLevel="0" collapsed="false">
      <c r="B18" s="19" t="s">
        <v>59</v>
      </c>
      <c r="C18" s="31" t="n">
        <v>32</v>
      </c>
      <c r="D18" s="20" t="n">
        <v>1972196</v>
      </c>
      <c r="E18" s="21" t="n">
        <v>33602</v>
      </c>
      <c r="F18" s="21" t="n">
        <v>61487</v>
      </c>
      <c r="G18" s="22" t="n">
        <v>0.159</v>
      </c>
      <c r="H18" s="22" t="n">
        <v>0.042</v>
      </c>
    </row>
    <row r="19" customFormat="false" ht="15" hidden="false" customHeight="false" outlineLevel="0" collapsed="false">
      <c r="B19" s="26" t="s">
        <v>60</v>
      </c>
      <c r="C19" s="27" t="n">
        <v>52</v>
      </c>
      <c r="D19" s="28" t="n">
        <v>5666530</v>
      </c>
      <c r="E19" s="29" t="n">
        <v>40033</v>
      </c>
      <c r="F19" s="29" t="n">
        <v>69925</v>
      </c>
      <c r="G19" s="30" t="n">
        <v>0.123</v>
      </c>
      <c r="H19" s="30" t="n">
        <v>0.044</v>
      </c>
    </row>
    <row r="20" customFormat="false" ht="15" hidden="false" customHeight="false" outlineLevel="0" collapsed="false">
      <c r="B20" s="19" t="s">
        <v>64</v>
      </c>
      <c r="C20" s="31" t="n">
        <v>55</v>
      </c>
      <c r="D20" s="20" t="n">
        <v>1769979</v>
      </c>
      <c r="E20" s="21" t="n">
        <v>34203</v>
      </c>
      <c r="F20" s="21" t="n">
        <v>59608</v>
      </c>
      <c r="G20" s="22" t="n">
        <v>0.167</v>
      </c>
      <c r="H20" s="22" t="n">
        <v>0.047</v>
      </c>
    </row>
    <row r="22" customFormat="false" ht="54.75" hidden="false" customHeight="true" outlineLevel="0" collapsed="false">
      <c r="B22" s="24" t="s">
        <v>76</v>
      </c>
      <c r="C22" s="24"/>
      <c r="D22" s="24"/>
      <c r="E22" s="24"/>
      <c r="F22" s="24"/>
      <c r="G22" s="24"/>
      <c r="H22" s="24"/>
    </row>
  </sheetData>
  <mergeCells count="4">
    <mergeCell ref="B6:G6"/>
    <mergeCell ref="C11:G11"/>
    <mergeCell ref="B14:G14"/>
    <mergeCell ref="B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8" min="3" style="0" width="14"/>
    <col collapsed="false" customWidth="true" hidden="false" outlineLevel="0" max="9" min="9" style="0" width="15"/>
  </cols>
  <sheetData>
    <row r="2" customFormat="false" ht="19.7" hidden="false" customHeight="false" outlineLevel="0" collapsed="false">
      <c r="B2" s="1" t="s">
        <v>43</v>
      </c>
    </row>
    <row r="3" customFormat="false" ht="15" hidden="false" customHeight="false" outlineLevel="0" collapsed="false">
      <c r="B3" s="2" t="s">
        <v>68</v>
      </c>
    </row>
    <row r="5" customFormat="false" ht="15" hidden="false" customHeight="false" outlineLevel="0" collapsed="false">
      <c r="B5" s="36" t="s">
        <v>69</v>
      </c>
    </row>
    <row r="6" customFormat="false" ht="60" hidden="false" customHeight="true" outlineLevel="0" collapsed="false">
      <c r="B6" s="37" t="s">
        <v>77</v>
      </c>
      <c r="C6" s="37"/>
      <c r="D6" s="37"/>
      <c r="E6" s="37"/>
      <c r="F6" s="37"/>
      <c r="G6" s="37"/>
    </row>
    <row r="8" customFormat="false" ht="15" hidden="false" customHeight="false" outlineLevel="0" collapsed="false">
      <c r="B8" s="36" t="s">
        <v>71</v>
      </c>
    </row>
    <row r="9" customFormat="false" ht="30" hidden="false" customHeight="true" outlineLevel="0" collapsed="false">
      <c r="B9" s="10" t="s">
        <v>32</v>
      </c>
      <c r="C9" s="10" t="s">
        <v>33</v>
      </c>
      <c r="D9" s="10" t="s">
        <v>34</v>
      </c>
      <c r="E9" s="10" t="s">
        <v>35</v>
      </c>
      <c r="F9" s="10" t="s">
        <v>36</v>
      </c>
      <c r="G9" s="10" t="s">
        <v>37</v>
      </c>
    </row>
    <row r="10" customFormat="false" ht="15" hidden="false" customHeight="false" outlineLevel="0" collapsed="false">
      <c r="B10" s="15" t="s">
        <v>43</v>
      </c>
      <c r="C10" s="16" t="n">
        <v>2484901</v>
      </c>
      <c r="D10" s="17" t="n">
        <v>34780</v>
      </c>
      <c r="E10" s="17" t="n">
        <v>62315</v>
      </c>
      <c r="F10" s="18" t="n">
        <v>0.159</v>
      </c>
      <c r="G10" s="18" t="n">
        <v>0.042</v>
      </c>
    </row>
    <row r="11" customFormat="false" ht="27.75" hidden="false" customHeight="true" outlineLevel="0" collapsed="false">
      <c r="B11" s="38" t="s">
        <v>72</v>
      </c>
      <c r="C11" s="35" t="s">
        <v>73</v>
      </c>
      <c r="D11" s="35"/>
      <c r="E11" s="35"/>
      <c r="F11" s="35"/>
      <c r="G11" s="35"/>
    </row>
    <row r="13" customFormat="false" ht="15" hidden="false" customHeight="false" outlineLevel="0" collapsed="false">
      <c r="B13" s="36" t="s">
        <v>78</v>
      </c>
    </row>
    <row r="14" customFormat="false" ht="27.75" hidden="false" customHeight="true" outlineLevel="0" collapsed="false">
      <c r="B14" s="35" t="s">
        <v>75</v>
      </c>
      <c r="C14" s="35"/>
      <c r="D14" s="35"/>
      <c r="E14" s="35"/>
      <c r="F14" s="35"/>
      <c r="G14" s="35"/>
    </row>
    <row r="15" customFormat="false" ht="30" hidden="false" customHeight="true" outlineLevel="0" collapsed="false">
      <c r="B15" s="10" t="s">
        <v>13</v>
      </c>
      <c r="C15" s="10" t="s">
        <v>50</v>
      </c>
      <c r="D15" s="10" t="s">
        <v>33</v>
      </c>
      <c r="E15" s="10" t="s">
        <v>34</v>
      </c>
      <c r="F15" s="10" t="s">
        <v>35</v>
      </c>
      <c r="G15" s="10" t="s">
        <v>36</v>
      </c>
      <c r="H15" s="10" t="s">
        <v>37</v>
      </c>
    </row>
    <row r="16" customFormat="false" ht="15" hidden="false" customHeight="false" outlineLevel="0" collapsed="false">
      <c r="B16" s="19" t="s">
        <v>59</v>
      </c>
      <c r="C16" s="31" t="n">
        <v>32</v>
      </c>
      <c r="D16" s="20" t="n">
        <v>1972196</v>
      </c>
      <c r="E16" s="21" t="n">
        <v>33602</v>
      </c>
      <c r="F16" s="21" t="n">
        <v>61487</v>
      </c>
      <c r="G16" s="22" t="n">
        <v>0.159</v>
      </c>
      <c r="H16" s="22" t="n">
        <v>0.042</v>
      </c>
    </row>
    <row r="17" customFormat="false" ht="15" hidden="false" customHeight="false" outlineLevel="0" collapsed="false">
      <c r="B17" s="26" t="s">
        <v>64</v>
      </c>
      <c r="C17" s="27" t="n">
        <v>55</v>
      </c>
      <c r="D17" s="28" t="n">
        <v>1769979</v>
      </c>
      <c r="E17" s="29" t="n">
        <v>34203</v>
      </c>
      <c r="F17" s="29" t="n">
        <v>59608</v>
      </c>
      <c r="G17" s="30" t="n">
        <v>0.167</v>
      </c>
      <c r="H17" s="30" t="n">
        <v>0.047</v>
      </c>
    </row>
    <row r="19" customFormat="false" ht="54.75" hidden="false" customHeight="true" outlineLevel="0" collapsed="false">
      <c r="B19" s="24" t="s">
        <v>76</v>
      </c>
      <c r="C19" s="24"/>
      <c r="D19" s="24"/>
      <c r="E19" s="24"/>
      <c r="F19" s="24"/>
      <c r="G19" s="24"/>
      <c r="H19" s="24"/>
    </row>
  </sheetData>
  <mergeCells count="4">
    <mergeCell ref="B6:G6"/>
    <mergeCell ref="C11:G11"/>
    <mergeCell ref="B14:G14"/>
    <mergeCell ref="B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8" min="3" style="0" width="14"/>
    <col collapsed="false" customWidth="true" hidden="false" outlineLevel="0" max="9" min="9" style="0" width="15"/>
  </cols>
  <sheetData>
    <row r="2" customFormat="false" ht="19.7" hidden="false" customHeight="false" outlineLevel="0" collapsed="false">
      <c r="B2" s="1" t="s">
        <v>44</v>
      </c>
    </row>
    <row r="3" customFormat="false" ht="15" hidden="false" customHeight="false" outlineLevel="0" collapsed="false">
      <c r="B3" s="2" t="s">
        <v>68</v>
      </c>
    </row>
    <row r="5" customFormat="false" ht="15" hidden="false" customHeight="false" outlineLevel="0" collapsed="false">
      <c r="B5" s="36" t="s">
        <v>69</v>
      </c>
    </row>
    <row r="6" customFormat="false" ht="60" hidden="false" customHeight="true" outlineLevel="0" collapsed="false">
      <c r="B6" s="37" t="s">
        <v>79</v>
      </c>
      <c r="C6" s="37"/>
      <c r="D6" s="37"/>
      <c r="E6" s="37"/>
      <c r="F6" s="37"/>
      <c r="G6" s="37"/>
    </row>
    <row r="8" customFormat="false" ht="15" hidden="false" customHeight="false" outlineLevel="0" collapsed="false">
      <c r="B8" s="36" t="s">
        <v>71</v>
      </c>
    </row>
    <row r="9" customFormat="false" ht="30" hidden="false" customHeight="true" outlineLevel="0" collapsed="false">
      <c r="B9" s="10" t="s">
        <v>32</v>
      </c>
      <c r="C9" s="10" t="s">
        <v>33</v>
      </c>
      <c r="D9" s="10" t="s">
        <v>34</v>
      </c>
      <c r="E9" s="10" t="s">
        <v>35</v>
      </c>
      <c r="F9" s="10" t="s">
        <v>36</v>
      </c>
      <c r="G9" s="10" t="s">
        <v>37</v>
      </c>
    </row>
    <row r="10" customFormat="false" ht="15" hidden="false" customHeight="false" outlineLevel="0" collapsed="false">
      <c r="B10" s="15" t="s">
        <v>44</v>
      </c>
      <c r="C10" s="16" t="n">
        <v>1858312</v>
      </c>
      <c r="D10" s="17" t="n">
        <v>27923</v>
      </c>
      <c r="E10" s="17" t="n">
        <v>50224</v>
      </c>
      <c r="F10" s="18" t="n">
        <v>0.212</v>
      </c>
      <c r="G10" s="18" t="n">
        <v>0.048</v>
      </c>
    </row>
    <row r="11" customFormat="false" ht="27.75" hidden="false" customHeight="true" outlineLevel="0" collapsed="false">
      <c r="B11" s="38" t="s">
        <v>72</v>
      </c>
      <c r="C11" s="35" t="s">
        <v>80</v>
      </c>
      <c r="D11" s="35"/>
      <c r="E11" s="35"/>
      <c r="F11" s="35"/>
      <c r="G11" s="35"/>
    </row>
    <row r="13" customFormat="false" ht="15" hidden="false" customHeight="false" outlineLevel="0" collapsed="false">
      <c r="B13" s="36" t="s">
        <v>81</v>
      </c>
    </row>
    <row r="14" customFormat="false" ht="27.75" hidden="false" customHeight="true" outlineLevel="0" collapsed="false">
      <c r="B14" s="35" t="s">
        <v>75</v>
      </c>
      <c r="C14" s="35"/>
      <c r="D14" s="35"/>
      <c r="E14" s="35"/>
      <c r="F14" s="35"/>
      <c r="G14" s="35"/>
    </row>
    <row r="15" customFormat="false" ht="30" hidden="false" customHeight="true" outlineLevel="0" collapsed="false">
      <c r="B15" s="10" t="s">
        <v>13</v>
      </c>
      <c r="C15" s="10" t="s">
        <v>50</v>
      </c>
      <c r="D15" s="10" t="s">
        <v>33</v>
      </c>
      <c r="E15" s="10" t="s">
        <v>34</v>
      </c>
      <c r="F15" s="10" t="s">
        <v>35</v>
      </c>
      <c r="G15" s="10" t="s">
        <v>36</v>
      </c>
      <c r="H15" s="10" t="s">
        <v>37</v>
      </c>
    </row>
    <row r="16" customFormat="false" ht="15" hidden="false" customHeight="false" outlineLevel="0" collapsed="false">
      <c r="B16" s="19" t="s">
        <v>54</v>
      </c>
      <c r="C16" s="31" t="n">
        <v>54</v>
      </c>
      <c r="D16" s="20" t="n">
        <v>1164897</v>
      </c>
      <c r="E16" s="21" t="n">
        <v>27328</v>
      </c>
      <c r="F16" s="21" t="n">
        <v>49616</v>
      </c>
      <c r="G16" s="22" t="n">
        <v>0.224</v>
      </c>
      <c r="H16" s="22" t="n">
        <v>0.049</v>
      </c>
    </row>
    <row r="17" customFormat="false" ht="15" hidden="false" customHeight="false" outlineLevel="0" collapsed="false">
      <c r="B17" s="26" t="s">
        <v>62</v>
      </c>
      <c r="C17" s="27" t="n">
        <v>52</v>
      </c>
      <c r="D17" s="28" t="n">
        <v>3114150</v>
      </c>
      <c r="E17" s="29" t="n">
        <v>36462</v>
      </c>
      <c r="F17" s="29" t="n">
        <v>64375</v>
      </c>
      <c r="G17" s="30" t="n">
        <v>0.144</v>
      </c>
      <c r="H17" s="30" t="n">
        <v>0.038</v>
      </c>
    </row>
    <row r="18" customFormat="false" ht="15" hidden="false" customHeight="false" outlineLevel="0" collapsed="false">
      <c r="B18" s="19" t="s">
        <v>63</v>
      </c>
      <c r="C18" s="31" t="n">
        <v>25</v>
      </c>
      <c r="D18" s="20" t="n">
        <v>728031</v>
      </c>
      <c r="E18" s="21" t="n">
        <v>33016</v>
      </c>
      <c r="F18" s="21" t="n">
        <v>56552</v>
      </c>
      <c r="G18" s="22" t="n">
        <v>0.17</v>
      </c>
      <c r="H18" s="22" t="n">
        <v>0.032</v>
      </c>
    </row>
    <row r="19" customFormat="false" ht="15" hidden="false" customHeight="false" outlineLevel="0" collapsed="false">
      <c r="B19" s="26" t="s">
        <v>64</v>
      </c>
      <c r="C19" s="27" t="n">
        <v>55</v>
      </c>
      <c r="D19" s="28" t="n">
        <v>1769979</v>
      </c>
      <c r="E19" s="29" t="n">
        <v>34203</v>
      </c>
      <c r="F19" s="29" t="n">
        <v>59608</v>
      </c>
      <c r="G19" s="30" t="n">
        <v>0.167</v>
      </c>
      <c r="H19" s="30" t="n">
        <v>0.047</v>
      </c>
    </row>
    <row r="21" customFormat="false" ht="54.75" hidden="false" customHeight="true" outlineLevel="0" collapsed="false">
      <c r="B21" s="24" t="s">
        <v>76</v>
      </c>
      <c r="C21" s="24"/>
      <c r="D21" s="24"/>
      <c r="E21" s="24"/>
      <c r="F21" s="24"/>
      <c r="G21" s="24"/>
      <c r="H21" s="24"/>
    </row>
  </sheetData>
  <mergeCells count="4">
    <mergeCell ref="B6:G6"/>
    <mergeCell ref="C11:G11"/>
    <mergeCell ref="B14:G14"/>
    <mergeCell ref="B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8" min="3" style="0" width="14"/>
    <col collapsed="false" customWidth="true" hidden="false" outlineLevel="0" max="9" min="9" style="0" width="15"/>
  </cols>
  <sheetData>
    <row r="2" customFormat="false" ht="19.7" hidden="false" customHeight="false" outlineLevel="0" collapsed="false">
      <c r="B2" s="1" t="s">
        <v>45</v>
      </c>
    </row>
    <row r="3" customFormat="false" ht="15" hidden="false" customHeight="false" outlineLevel="0" collapsed="false">
      <c r="B3" s="2" t="s">
        <v>68</v>
      </c>
    </row>
    <row r="5" customFormat="false" ht="15" hidden="false" customHeight="false" outlineLevel="0" collapsed="false">
      <c r="B5" s="36" t="s">
        <v>69</v>
      </c>
    </row>
    <row r="6" customFormat="false" ht="60" hidden="false" customHeight="true" outlineLevel="0" collapsed="false">
      <c r="B6" s="37" t="s">
        <v>82</v>
      </c>
      <c r="C6" s="37"/>
      <c r="D6" s="37"/>
      <c r="E6" s="37"/>
      <c r="F6" s="37"/>
      <c r="G6" s="37"/>
    </row>
    <row r="8" customFormat="false" ht="15" hidden="false" customHeight="false" outlineLevel="0" collapsed="false">
      <c r="B8" s="36" t="s">
        <v>71</v>
      </c>
    </row>
    <row r="9" customFormat="false" ht="30" hidden="false" customHeight="true" outlineLevel="0" collapsed="false">
      <c r="B9" s="10" t="s">
        <v>32</v>
      </c>
      <c r="C9" s="10" t="s">
        <v>33</v>
      </c>
      <c r="D9" s="10" t="s">
        <v>34</v>
      </c>
      <c r="E9" s="10" t="s">
        <v>35</v>
      </c>
      <c r="F9" s="10" t="s">
        <v>36</v>
      </c>
      <c r="G9" s="10" t="s">
        <v>37</v>
      </c>
    </row>
    <row r="10" customFormat="false" ht="15" hidden="false" customHeight="false" outlineLevel="0" collapsed="false">
      <c r="B10" s="15" t="s">
        <v>45</v>
      </c>
      <c r="C10" s="16" t="n">
        <v>5400620</v>
      </c>
      <c r="D10" s="17" t="n">
        <v>36749</v>
      </c>
      <c r="E10" s="17" t="n">
        <v>64138</v>
      </c>
      <c r="F10" s="18" t="n">
        <v>0.142</v>
      </c>
      <c r="G10" s="18" t="n">
        <v>0.037</v>
      </c>
    </row>
    <row r="11" customFormat="false" ht="27.75" hidden="false" customHeight="true" outlineLevel="0" collapsed="false">
      <c r="B11" s="38" t="s">
        <v>72</v>
      </c>
      <c r="C11" s="35" t="s">
        <v>73</v>
      </c>
      <c r="D11" s="35"/>
      <c r="E11" s="35"/>
      <c r="F11" s="35"/>
      <c r="G11" s="35"/>
    </row>
    <row r="13" customFormat="false" ht="15" hidden="false" customHeight="false" outlineLevel="0" collapsed="false">
      <c r="B13" s="36" t="s">
        <v>83</v>
      </c>
    </row>
    <row r="14" customFormat="false" ht="27.75" hidden="false" customHeight="true" outlineLevel="0" collapsed="false">
      <c r="B14" s="35" t="s">
        <v>75</v>
      </c>
      <c r="C14" s="35"/>
      <c r="D14" s="35"/>
      <c r="E14" s="35"/>
      <c r="F14" s="35"/>
      <c r="G14" s="35"/>
    </row>
    <row r="15" customFormat="false" ht="30" hidden="false" customHeight="true" outlineLevel="0" collapsed="false">
      <c r="B15" s="10" t="s">
        <v>13</v>
      </c>
      <c r="C15" s="10" t="s">
        <v>50</v>
      </c>
      <c r="D15" s="10" t="s">
        <v>33</v>
      </c>
      <c r="E15" s="10" t="s">
        <v>34</v>
      </c>
      <c r="F15" s="10" t="s">
        <v>35</v>
      </c>
      <c r="G15" s="10" t="s">
        <v>36</v>
      </c>
      <c r="H15" s="10" t="s">
        <v>37</v>
      </c>
    </row>
    <row r="16" customFormat="false" ht="15" hidden="false" customHeight="false" outlineLevel="0" collapsed="false">
      <c r="B16" s="19" t="s">
        <v>58</v>
      </c>
      <c r="C16" s="31" t="n">
        <v>29</v>
      </c>
      <c r="D16" s="20" t="n">
        <v>2085009</v>
      </c>
      <c r="E16" s="21" t="n">
        <v>36670</v>
      </c>
      <c r="F16" s="21" t="n">
        <v>63274</v>
      </c>
      <c r="G16" s="22" t="n">
        <v>0.14</v>
      </c>
      <c r="H16" s="22" t="n">
        <v>0.038</v>
      </c>
    </row>
    <row r="17" customFormat="false" ht="15" hidden="false" customHeight="false" outlineLevel="0" collapsed="false">
      <c r="B17" s="26" t="s">
        <v>62</v>
      </c>
      <c r="C17" s="27" t="n">
        <v>52</v>
      </c>
      <c r="D17" s="28" t="n">
        <v>3114150</v>
      </c>
      <c r="E17" s="29" t="n">
        <v>36462</v>
      </c>
      <c r="F17" s="29" t="n">
        <v>64375</v>
      </c>
      <c r="G17" s="30" t="n">
        <v>0.144</v>
      </c>
      <c r="H17" s="30" t="n">
        <v>0.038</v>
      </c>
    </row>
    <row r="18" customFormat="false" ht="15" hidden="false" customHeight="false" outlineLevel="0" collapsed="false">
      <c r="B18" s="19" t="s">
        <v>63</v>
      </c>
      <c r="C18" s="31" t="n">
        <v>25</v>
      </c>
      <c r="D18" s="20" t="n">
        <v>728031</v>
      </c>
      <c r="E18" s="21" t="n">
        <v>33016</v>
      </c>
      <c r="F18" s="21" t="n">
        <v>56552</v>
      </c>
      <c r="G18" s="22" t="n">
        <v>0.17</v>
      </c>
      <c r="H18" s="22" t="n">
        <v>0.032</v>
      </c>
    </row>
    <row r="20" customFormat="false" ht="54.75" hidden="false" customHeight="true" outlineLevel="0" collapsed="false">
      <c r="B20" s="24" t="s">
        <v>76</v>
      </c>
      <c r="C20" s="24"/>
      <c r="D20" s="24"/>
      <c r="E20" s="24"/>
      <c r="F20" s="24"/>
      <c r="G20" s="24"/>
      <c r="H20" s="24"/>
    </row>
  </sheetData>
  <mergeCells count="4">
    <mergeCell ref="B6:G6"/>
    <mergeCell ref="C11:G11"/>
    <mergeCell ref="B14:G14"/>
    <mergeCell ref="B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0"/>
    <col collapsed="false" customWidth="true" hidden="false" outlineLevel="0" max="8" min="3" style="0" width="14"/>
    <col collapsed="false" customWidth="true" hidden="false" outlineLevel="0" max="9" min="9" style="0" width="15"/>
  </cols>
  <sheetData>
    <row r="2" customFormat="false" ht="19.7" hidden="false" customHeight="false" outlineLevel="0" collapsed="false">
      <c r="B2" s="1" t="s">
        <v>46</v>
      </c>
    </row>
    <row r="3" customFormat="false" ht="15" hidden="false" customHeight="false" outlineLevel="0" collapsed="false">
      <c r="B3" s="2" t="s">
        <v>68</v>
      </c>
    </row>
    <row r="5" customFormat="false" ht="15" hidden="false" customHeight="false" outlineLevel="0" collapsed="false">
      <c r="B5" s="36" t="s">
        <v>69</v>
      </c>
    </row>
    <row r="6" customFormat="false" ht="60" hidden="false" customHeight="true" outlineLevel="0" collapsed="false">
      <c r="B6" s="37" t="s">
        <v>84</v>
      </c>
      <c r="C6" s="37"/>
      <c r="D6" s="37"/>
      <c r="E6" s="37"/>
      <c r="F6" s="37"/>
      <c r="G6" s="37"/>
    </row>
    <row r="8" customFormat="false" ht="15" hidden="false" customHeight="false" outlineLevel="0" collapsed="false">
      <c r="B8" s="36" t="s">
        <v>71</v>
      </c>
    </row>
    <row r="9" customFormat="false" ht="30" hidden="false" customHeight="true" outlineLevel="0" collapsed="false">
      <c r="B9" s="10" t="s">
        <v>32</v>
      </c>
      <c r="C9" s="10" t="s">
        <v>33</v>
      </c>
      <c r="D9" s="10" t="s">
        <v>34</v>
      </c>
      <c r="E9" s="10" t="s">
        <v>35</v>
      </c>
      <c r="F9" s="10" t="s">
        <v>36</v>
      </c>
      <c r="G9" s="10" t="s">
        <v>37</v>
      </c>
    </row>
    <row r="10" customFormat="false" ht="15" hidden="false" customHeight="false" outlineLevel="0" collapsed="false">
      <c r="B10" s="15" t="s">
        <v>46</v>
      </c>
      <c r="C10" s="16" t="n">
        <v>9018529</v>
      </c>
      <c r="D10" s="17" t="n">
        <v>37633</v>
      </c>
      <c r="E10" s="17" t="n">
        <v>72365</v>
      </c>
      <c r="F10" s="18" t="n">
        <v>0.132</v>
      </c>
      <c r="G10" s="18" t="n">
        <v>0.037</v>
      </c>
    </row>
    <row r="11" customFormat="false" ht="27.75" hidden="false" customHeight="true" outlineLevel="0" collapsed="false">
      <c r="B11" s="38" t="s">
        <v>72</v>
      </c>
      <c r="C11" s="35" t="s">
        <v>73</v>
      </c>
      <c r="D11" s="35"/>
      <c r="E11" s="35"/>
      <c r="F11" s="35"/>
      <c r="G11" s="35"/>
    </row>
    <row r="13" customFormat="false" ht="15" hidden="false" customHeight="false" outlineLevel="0" collapsed="false">
      <c r="B13" s="36" t="s">
        <v>85</v>
      </c>
    </row>
    <row r="14" customFormat="false" ht="27.75" hidden="false" customHeight="true" outlineLevel="0" collapsed="false">
      <c r="B14" s="35" t="s">
        <v>75</v>
      </c>
      <c r="C14" s="35"/>
      <c r="D14" s="35"/>
      <c r="E14" s="35"/>
      <c r="F14" s="35"/>
      <c r="G14" s="35"/>
    </row>
    <row r="15" customFormat="false" ht="30" hidden="false" customHeight="true" outlineLevel="0" collapsed="false">
      <c r="B15" s="10" t="s">
        <v>13</v>
      </c>
      <c r="C15" s="10" t="s">
        <v>50</v>
      </c>
      <c r="D15" s="10" t="s">
        <v>33</v>
      </c>
      <c r="E15" s="10" t="s">
        <v>34</v>
      </c>
      <c r="F15" s="10" t="s">
        <v>35</v>
      </c>
      <c r="G15" s="10" t="s">
        <v>36</v>
      </c>
      <c r="H15" s="10" t="s">
        <v>37</v>
      </c>
    </row>
    <row r="16" customFormat="false" ht="15" hidden="false" customHeight="false" outlineLevel="0" collapsed="false">
      <c r="B16" s="19" t="s">
        <v>52</v>
      </c>
      <c r="C16" s="31" t="n">
        <v>37</v>
      </c>
      <c r="D16" s="20" t="n">
        <v>3336150</v>
      </c>
      <c r="E16" s="21" t="n">
        <v>37399</v>
      </c>
      <c r="F16" s="21" t="n">
        <v>67578</v>
      </c>
      <c r="G16" s="22" t="n">
        <v>0.145</v>
      </c>
      <c r="H16" s="22" t="n">
        <v>0.037</v>
      </c>
    </row>
    <row r="17" customFormat="false" ht="15" hidden="false" customHeight="false" outlineLevel="0" collapsed="false">
      <c r="B17" s="26" t="s">
        <v>53</v>
      </c>
      <c r="C17" s="27" t="n">
        <v>37</v>
      </c>
      <c r="D17" s="28" t="n">
        <v>3611878</v>
      </c>
      <c r="E17" s="29" t="n">
        <v>39142</v>
      </c>
      <c r="F17" s="29" t="n">
        <v>84420</v>
      </c>
      <c r="G17" s="30" t="n">
        <v>0.108</v>
      </c>
      <c r="H17" s="30" t="n">
        <v>0.035</v>
      </c>
    </row>
    <row r="18" customFormat="false" ht="15" hidden="false" customHeight="false" outlineLevel="0" collapsed="false">
      <c r="B18" s="19" t="s">
        <v>56</v>
      </c>
      <c r="C18" s="31" t="n">
        <v>24</v>
      </c>
      <c r="D18" s="20" t="n">
        <v>608187</v>
      </c>
      <c r="E18" s="21" t="n">
        <v>29587</v>
      </c>
      <c r="F18" s="21" t="n">
        <v>52343</v>
      </c>
      <c r="G18" s="22" t="n">
        <v>0.192</v>
      </c>
      <c r="H18" s="22" t="n">
        <v>0.044</v>
      </c>
    </row>
    <row r="19" customFormat="false" ht="15" hidden="false" customHeight="false" outlineLevel="0" collapsed="false">
      <c r="B19" s="26" t="s">
        <v>61</v>
      </c>
      <c r="C19" s="27" t="n">
        <v>6</v>
      </c>
      <c r="D19" s="28" t="n">
        <v>1462314</v>
      </c>
      <c r="E19" s="29" t="n">
        <v>37920</v>
      </c>
      <c r="F19" s="29" t="n">
        <v>68742</v>
      </c>
      <c r="G19" s="30" t="n">
        <v>0.138</v>
      </c>
      <c r="H19" s="30" t="n">
        <v>0.038</v>
      </c>
    </row>
    <row r="20" customFormat="false" ht="15" hidden="false" customHeight="false" outlineLevel="0" collapsed="false">
      <c r="B20" s="19" t="s">
        <v>58</v>
      </c>
      <c r="C20" s="31" t="n">
        <v>29</v>
      </c>
      <c r="D20" s="20" t="n">
        <v>2085009</v>
      </c>
      <c r="E20" s="21" t="n">
        <v>36670</v>
      </c>
      <c r="F20" s="21" t="n">
        <v>63274</v>
      </c>
      <c r="G20" s="22" t="n">
        <v>0.14</v>
      </c>
      <c r="H20" s="22" t="n">
        <v>0.038</v>
      </c>
    </row>
    <row r="21" customFormat="false" ht="15" hidden="false" customHeight="false" outlineLevel="0" collapsed="false">
      <c r="B21" s="26" t="s">
        <v>62</v>
      </c>
      <c r="C21" s="27" t="n">
        <v>52</v>
      </c>
      <c r="D21" s="28" t="n">
        <v>3114150</v>
      </c>
      <c r="E21" s="29" t="n">
        <v>36462</v>
      </c>
      <c r="F21" s="29" t="n">
        <v>64375</v>
      </c>
      <c r="G21" s="30" t="n">
        <v>0.144</v>
      </c>
      <c r="H21" s="30" t="n">
        <v>0.038</v>
      </c>
    </row>
    <row r="23" customFormat="false" ht="54.75" hidden="false" customHeight="true" outlineLevel="0" collapsed="false">
      <c r="B23" s="24" t="s">
        <v>76</v>
      </c>
      <c r="C23" s="24"/>
      <c r="D23" s="24"/>
      <c r="E23" s="24"/>
      <c r="F23" s="24"/>
      <c r="G23" s="24"/>
      <c r="H23" s="24"/>
    </row>
  </sheetData>
  <mergeCells count="4">
    <mergeCell ref="B6:G6"/>
    <mergeCell ref="C11:G11"/>
    <mergeCell ref="B14:G14"/>
    <mergeCell ref="B23:H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2026-09-16T18:22:34Z</dcterms:created>
  <dc:creator>openpyxl</dc:creator>
  <dc:description/>
  <dc:language>en-US</dc:language>
  <cp:lastModifiedBy/>
  <dcterms:modified xsi:type="dcterms:W3CDTF">2026-09-16T18:23:10Z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